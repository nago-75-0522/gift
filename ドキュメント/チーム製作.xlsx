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FAA12071-FEE6-45E6-A957-8484C11B402F}" xr6:coauthVersionLast="47" xr6:coauthVersionMax="47" xr10:uidLastSave="{00000000-0000-0000-0000-000000000000}"/>
  <bookViews>
    <workbookView xWindow="-108" yWindow="-108" windowWidth="23256" windowHeight="12456" firstSheet="13" activeTab="19" xr2:uid="{00000000-000D-0000-FFFF-FFFF00000000}"/>
  </bookViews>
  <sheets>
    <sheet name="画面一覧" sheetId="5" r:id="rId1"/>
    <sheet name="目次" sheetId="1" r:id="rId2"/>
    <sheet name="基本情報" sheetId="14" r:id="rId3"/>
    <sheet name="設定仕様" sheetId="2" r:id="rId4"/>
    <sheet name="基本ルール" sheetId="3" r:id="rId5"/>
    <sheet name="全体フロー" sheetId="11" r:id="rId6"/>
    <sheet name="ラベル一覧" sheetId="22" r:id="rId7"/>
    <sheet name="タイトルフロー" sheetId="20" r:id="rId8"/>
    <sheet name="ゲームメインフロー" sheetId="4" r:id="rId9"/>
    <sheet name="一覧表項目説明" sheetId="13" r:id="rId10"/>
    <sheet name="タイトル画面" sheetId="19" r:id="rId11"/>
    <sheet name="登録画面" sheetId="17" r:id="rId12"/>
    <sheet name="編成画面" sheetId="18" r:id="rId13"/>
    <sheet name="メイン画面" sheetId="12" r:id="rId14"/>
    <sheet name="グラフィック一覧" sheetId="6" r:id="rId15"/>
    <sheet name="サウンド一覧" sheetId="7" r:id="rId16"/>
    <sheet name="パラメータ・用語一覧" sheetId="8" r:id="rId17"/>
    <sheet name="変数表" sheetId="15" r:id="rId18"/>
    <sheet name="データ表" sheetId="23" r:id="rId19"/>
    <sheet name="スプライト設定一覧" sheetId="9" r:id="rId20"/>
    <sheet name="スプライト定義" sheetId="21" r:id="rId21"/>
    <sheet name="シナリオ一覧" sheetId="10" r:id="rId22"/>
    <sheet name="反射計算" sheetId="25" r:id="rId23"/>
    <sheet name="エラー履歴" sheetId="24" r:id="rId24"/>
    <sheet name="Sheet1" sheetId="26" r:id="rId25"/>
  </sheets>
  <definedNames>
    <definedName name="_xlnm._FilterDatabase" localSheetId="14" hidden="1">グラフィック一覧!$B$3:$P$4</definedName>
    <definedName name="_xlnm._FilterDatabase" localSheetId="15" hidden="1">サウンド一覧!$B$3:$Q$3</definedName>
    <definedName name="_xlnm._FilterDatabase" localSheetId="17" hidden="1">変数表!$C$3:$H$3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7" i="25" l="1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AK26" i="25"/>
  <c r="AJ26" i="25"/>
  <c r="AI26" i="25"/>
  <c r="AH26" i="25"/>
  <c r="AG26" i="25"/>
  <c r="AF26" i="25"/>
  <c r="AE26" i="25"/>
  <c r="AD26" i="25"/>
  <c r="AC26" i="25"/>
  <c r="AB26" i="25"/>
  <c r="AA26" i="25"/>
  <c r="Z26" i="25"/>
  <c r="Y26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AK25" i="25"/>
  <c r="AJ25" i="25"/>
  <c r="AI25" i="25"/>
  <c r="AH25" i="25"/>
  <c r="AG25" i="25"/>
  <c r="AF25" i="25"/>
  <c r="AE25" i="25"/>
  <c r="AD25" i="25"/>
  <c r="AC25" i="25"/>
  <c r="AB25" i="25"/>
  <c r="AA25" i="25"/>
  <c r="Z25" i="25"/>
  <c r="Y25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AK24" i="25"/>
  <c r="AJ24" i="25"/>
  <c r="AI24" i="25"/>
  <c r="AH24" i="25"/>
  <c r="AG24" i="25"/>
  <c r="AF24" i="25"/>
  <c r="AE24" i="25"/>
  <c r="AD24" i="25"/>
  <c r="AC24" i="25"/>
  <c r="AB24" i="25"/>
  <c r="AA24" i="25"/>
  <c r="Z24" i="25"/>
  <c r="Y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AK22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AK15" i="25"/>
  <c r="AJ15" i="25"/>
  <c r="AI15" i="25"/>
  <c r="AH15" i="25"/>
  <c r="AG15" i="25"/>
  <c r="AF15" i="25"/>
  <c r="AE15" i="25"/>
  <c r="AD15" i="25"/>
  <c r="AC15" i="25"/>
  <c r="AB15" i="25"/>
  <c r="AA15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AK14" i="25"/>
  <c r="AJ14" i="25"/>
  <c r="AI14" i="25"/>
  <c r="AH14" i="25"/>
  <c r="AG14" i="25"/>
  <c r="AF14" i="25"/>
  <c r="AE14" i="25"/>
  <c r="AD14" i="25"/>
  <c r="AC14" i="25"/>
  <c r="AB14" i="25"/>
  <c r="AA14" i="25"/>
  <c r="Z14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AK13" i="25"/>
  <c r="AJ13" i="25"/>
  <c r="AI13" i="25"/>
  <c r="AH13" i="25"/>
  <c r="AG13" i="25"/>
  <c r="AF13" i="25"/>
  <c r="AE13" i="25"/>
  <c r="AD13" i="25"/>
  <c r="AC13" i="25"/>
  <c r="AB13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AK12" i="25"/>
  <c r="AJ12" i="25"/>
  <c r="AI12" i="25"/>
  <c r="AH12" i="25"/>
  <c r="AG12" i="25"/>
  <c r="AF12" i="25"/>
  <c r="AE12" i="25"/>
  <c r="AD12" i="25"/>
  <c r="AC12" i="25"/>
  <c r="AB12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AK11" i="25"/>
  <c r="AJ11" i="25"/>
  <c r="AI11" i="25"/>
  <c r="AH11" i="25"/>
  <c r="AG11" i="25"/>
  <c r="AF11" i="25"/>
  <c r="AE11" i="25"/>
  <c r="AD11" i="25"/>
  <c r="AC11" i="25"/>
  <c r="AB11" i="25"/>
  <c r="AA11" i="25"/>
  <c r="Z11" i="25"/>
  <c r="Y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AK10" i="25"/>
  <c r="AJ10" i="25"/>
  <c r="AI10" i="25"/>
  <c r="AH10" i="25"/>
  <c r="AG10" i="25"/>
  <c r="AF10" i="25"/>
  <c r="AE10" i="25"/>
  <c r="AD10" i="25"/>
  <c r="AC10" i="25"/>
  <c r="AB10" i="25"/>
  <c r="AA10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AK9" i="25"/>
  <c r="AJ9" i="25"/>
  <c r="AI9" i="25"/>
  <c r="AH9" i="25"/>
  <c r="AG9" i="25"/>
  <c r="AF9" i="25"/>
  <c r="AE9" i="25"/>
  <c r="AD9" i="25"/>
  <c r="AC9" i="25"/>
  <c r="AB9" i="25"/>
  <c r="AA9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AK8" i="25"/>
  <c r="AJ8" i="25"/>
  <c r="AI8" i="25"/>
  <c r="AH8" i="25"/>
  <c r="AG8" i="25"/>
  <c r="AF8" i="25"/>
  <c r="AE8" i="25"/>
  <c r="AD8" i="25"/>
  <c r="AC8" i="25"/>
  <c r="AB8" i="25"/>
  <c r="AA8" i="25"/>
  <c r="Z8" i="25"/>
  <c r="Y8" i="25"/>
  <c r="X8" i="25"/>
  <c r="W8" i="25"/>
  <c r="V8" i="25"/>
  <c r="U8" i="25"/>
  <c r="T8" i="25"/>
  <c r="S8" i="25"/>
  <c r="R8" i="25"/>
  <c r="Q8" i="25"/>
  <c r="P8" i="25"/>
  <c r="O8" i="25"/>
  <c r="N8" i="25"/>
  <c r="M8" i="25"/>
  <c r="AK7" i="25"/>
  <c r="AJ7" i="25"/>
  <c r="AI7" i="25"/>
  <c r="AH7" i="25"/>
  <c r="AG7" i="25"/>
  <c r="AF7" i="25"/>
  <c r="AE7" i="25"/>
  <c r="AD7" i="25"/>
  <c r="AC7" i="25"/>
  <c r="AB7" i="25"/>
  <c r="AA7" i="25"/>
  <c r="Z7" i="25"/>
  <c r="Y7" i="25"/>
  <c r="X7" i="25"/>
  <c r="W7" i="25"/>
  <c r="V7" i="25"/>
  <c r="U7" i="25"/>
  <c r="T7" i="25"/>
  <c r="S7" i="25"/>
  <c r="R7" i="25"/>
  <c r="Q7" i="25"/>
  <c r="P7" i="25"/>
  <c r="O7" i="25"/>
  <c r="N7" i="25"/>
  <c r="M7" i="25"/>
  <c r="AK6" i="25"/>
  <c r="AJ6" i="25"/>
  <c r="AI6" i="25"/>
  <c r="AH6" i="25"/>
  <c r="AG6" i="25"/>
  <c r="AF6" i="25"/>
  <c r="AE6" i="25"/>
  <c r="AD6" i="25"/>
  <c r="AC6" i="25"/>
  <c r="AB6" i="25"/>
  <c r="AA6" i="25"/>
  <c r="Z6" i="25"/>
  <c r="Y6" i="25"/>
  <c r="X6" i="25"/>
  <c r="W6" i="25"/>
  <c r="V6" i="25"/>
  <c r="U6" i="25"/>
  <c r="T6" i="25"/>
  <c r="S6" i="25"/>
  <c r="R6" i="25"/>
  <c r="Q6" i="25"/>
  <c r="P6" i="25"/>
  <c r="O6" i="25"/>
  <c r="N6" i="25"/>
  <c r="M6" i="25"/>
  <c r="AK5" i="25"/>
  <c r="AJ5" i="25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Q5" i="25"/>
  <c r="P5" i="25"/>
  <c r="O5" i="25"/>
  <c r="N5" i="25"/>
  <c r="M5" i="25"/>
  <c r="AK4" i="25"/>
  <c r="AJ4" i="25"/>
  <c r="AI4" i="25"/>
  <c r="AH4" i="25"/>
  <c r="AG4" i="25"/>
  <c r="AF4" i="25"/>
  <c r="AE4" i="25"/>
  <c r="AD4" i="25"/>
  <c r="AC4" i="25"/>
  <c r="AB4" i="25"/>
  <c r="AA4" i="25"/>
  <c r="Z4" i="25"/>
  <c r="Y4" i="25"/>
  <c r="X4" i="25"/>
  <c r="W4" i="25"/>
  <c r="V4" i="25"/>
  <c r="U4" i="25"/>
  <c r="T4" i="25"/>
  <c r="S4" i="25"/>
  <c r="R4" i="25"/>
  <c r="Q4" i="25"/>
  <c r="P4" i="25"/>
  <c r="O4" i="25"/>
  <c r="N4" i="25"/>
  <c r="M4" i="25"/>
  <c r="AK3" i="25"/>
  <c r="AJ3" i="25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27" i="25" l="1"/>
  <c r="L26" i="25"/>
  <c r="L25" i="25"/>
  <c r="L24" i="25"/>
  <c r="L23" i="25"/>
  <c r="L22" i="25"/>
  <c r="L21" i="25"/>
  <c r="L20" i="25"/>
  <c r="L19" i="25"/>
  <c r="L18" i="25"/>
  <c r="L17" i="25"/>
  <c r="L16" i="25"/>
  <c r="L15" i="25"/>
  <c r="L14" i="25"/>
  <c r="L13" i="25"/>
  <c r="L12" i="25"/>
  <c r="L11" i="25"/>
  <c r="L10" i="25"/>
  <c r="L9" i="25"/>
  <c r="L8" i="25"/>
  <c r="L7" i="25"/>
  <c r="L6" i="25"/>
  <c r="L5" i="25"/>
  <c r="L4" i="25"/>
  <c r="L3" i="25"/>
  <c r="E3" i="25"/>
  <c r="E2" i="25"/>
  <c r="D3" i="25"/>
  <c r="D2" i="25"/>
  <c r="F3" i="25" l="1"/>
  <c r="F2" i="25"/>
  <c r="G2" i="25" s="1"/>
  <c r="H2" i="25" s="1"/>
  <c r="G3" i="25"/>
  <c r="E25" i="9"/>
  <c r="D25" i="9"/>
  <c r="B25" i="9"/>
  <c r="E24" i="9"/>
  <c r="D24" i="9"/>
  <c r="B24" i="9"/>
  <c r="E23" i="9"/>
  <c r="D23" i="9"/>
  <c r="B23" i="9"/>
  <c r="E22" i="9"/>
  <c r="D22" i="9"/>
  <c r="B22" i="9"/>
  <c r="E21" i="9"/>
  <c r="D21" i="9"/>
  <c r="B21" i="9"/>
  <c r="E20" i="9"/>
  <c r="D20" i="9"/>
  <c r="B20" i="9"/>
  <c r="E19" i="9"/>
  <c r="D19" i="9"/>
  <c r="B19" i="9"/>
  <c r="E18" i="9"/>
  <c r="D18" i="9"/>
  <c r="B18" i="9"/>
  <c r="H3" i="25" l="1"/>
  <c r="I3" i="25" s="1"/>
  <c r="I2" i="25"/>
  <c r="B6" i="21"/>
  <c r="B7" i="21" s="1"/>
  <c r="B8" i="21" s="1"/>
  <c r="B9" i="21" s="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14" i="9" l="1"/>
  <c r="D14" i="9"/>
  <c r="E14" i="9"/>
  <c r="B15" i="9"/>
  <c r="D15" i="9"/>
  <c r="E15" i="9"/>
  <c r="B16" i="9"/>
  <c r="D16" i="9"/>
  <c r="E16" i="9"/>
  <c r="B17" i="9"/>
  <c r="D17" i="9"/>
  <c r="E17" i="9"/>
  <c r="B26" i="9"/>
  <c r="D26" i="9"/>
  <c r="E26" i="9"/>
  <c r="B27" i="9"/>
  <c r="D27" i="9"/>
  <c r="E27" i="9"/>
  <c r="B28" i="9"/>
  <c r="D28" i="9"/>
  <c r="E28" i="9"/>
  <c r="B29" i="9"/>
  <c r="D29" i="9"/>
  <c r="E29" i="9"/>
  <c r="B30" i="9"/>
  <c r="D30" i="9"/>
  <c r="E30" i="9"/>
  <c r="B31" i="9"/>
  <c r="D31" i="9"/>
  <c r="E31" i="9"/>
  <c r="B32" i="9"/>
  <c r="D32" i="9"/>
  <c r="E32" i="9"/>
  <c r="B33" i="9"/>
  <c r="D33" i="9"/>
  <c r="E33" i="9"/>
  <c r="B34" i="9"/>
  <c r="D34" i="9"/>
  <c r="E34" i="9"/>
  <c r="B35" i="9"/>
  <c r="D35" i="9"/>
  <c r="E35" i="9"/>
  <c r="B36" i="9"/>
  <c r="D36" i="9"/>
  <c r="E36" i="9"/>
  <c r="B12" i="9"/>
  <c r="D12" i="9"/>
  <c r="E12" i="9"/>
  <c r="B13" i="9"/>
  <c r="D13" i="9"/>
  <c r="E13" i="9"/>
  <c r="D11" i="9"/>
  <c r="D10" i="9"/>
  <c r="D9" i="9"/>
  <c r="D8" i="9"/>
  <c r="D7" i="9"/>
  <c r="E11" i="9"/>
  <c r="E10" i="9"/>
  <c r="E9" i="9"/>
  <c r="E8" i="9"/>
  <c r="E7" i="9"/>
  <c r="B11" i="9"/>
  <c r="B10" i="9"/>
  <c r="B9" i="9"/>
  <c r="B8" i="9"/>
  <c r="B7" i="9"/>
  <c r="B6" i="9"/>
  <c r="D6" i="9"/>
  <c r="E6" i="9"/>
  <c r="B19" i="1" l="1"/>
  <c r="B18" i="1"/>
  <c r="B15" i="1"/>
  <c r="B14" i="1"/>
  <c r="B13" i="1"/>
  <c r="B12" i="1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<sst xmlns="http://schemas.openxmlformats.org/spreadsheetml/2006/main" count="418" uniqueCount="260">
  <si>
    <t>目次</t>
    <rPh sb="0" eb="2">
      <t>モクジ</t>
    </rPh>
    <phoneticPr fontId="2"/>
  </si>
  <si>
    <t>画面一覧</t>
    <rPh sb="0" eb="2">
      <t>ガメン</t>
    </rPh>
    <rPh sb="2" eb="4">
      <t>イチラン</t>
    </rPh>
    <phoneticPr fontId="2"/>
  </si>
  <si>
    <t>・</t>
    <phoneticPr fontId="2"/>
  </si>
  <si>
    <t>バウンド ユニット プチバトル　仕様書</t>
    <rPh sb="16" eb="19">
      <t>シヨウショ</t>
    </rPh>
    <phoneticPr fontId="2"/>
  </si>
  <si>
    <t>▼項目</t>
    <rPh sb="1" eb="3">
      <t>コウモク</t>
    </rPh>
    <phoneticPr fontId="2"/>
  </si>
  <si>
    <t>基本情報</t>
  </si>
  <si>
    <t>ゲーム概要（タイトル・ジャンル・ターゲットなど）</t>
    <rPh sb="3" eb="5">
      <t>ガイヨウ</t>
    </rPh>
    <phoneticPr fontId="2"/>
  </si>
  <si>
    <t>設定仕様</t>
    <rPh sb="0" eb="2">
      <t>セッテイ</t>
    </rPh>
    <rPh sb="2" eb="4">
      <t>シヨウ</t>
    </rPh>
    <phoneticPr fontId="2"/>
  </si>
  <si>
    <t>プラットフォーム仕様、ビジネスモデル設定などを記述したもの。</t>
    <rPh sb="8" eb="10">
      <t>シヨウ</t>
    </rPh>
    <rPh sb="18" eb="20">
      <t>セッテイ</t>
    </rPh>
    <rPh sb="23" eb="25">
      <t>キジュツ</t>
    </rPh>
    <phoneticPr fontId="2"/>
  </si>
  <si>
    <t>基本ルール</t>
    <rPh sb="0" eb="2">
      <t>キホン</t>
    </rPh>
    <phoneticPr fontId="2"/>
  </si>
  <si>
    <t>勝利条件、敗北条件、メインシステムなどを記述したもの。</t>
    <rPh sb="0" eb="2">
      <t>ショウリ</t>
    </rPh>
    <rPh sb="2" eb="4">
      <t>ジョウケン</t>
    </rPh>
    <rPh sb="5" eb="7">
      <t>ハイボク</t>
    </rPh>
    <rPh sb="7" eb="9">
      <t>ジョウケン</t>
    </rPh>
    <rPh sb="20" eb="22">
      <t>キジュツ</t>
    </rPh>
    <phoneticPr fontId="2"/>
  </si>
  <si>
    <t>全体フロー</t>
    <rPh sb="0" eb="2">
      <t>ゼンタイ</t>
    </rPh>
    <phoneticPr fontId="2"/>
  </si>
  <si>
    <t>画面遷移図を記述したもの。</t>
    <rPh sb="0" eb="2">
      <t>ガメン</t>
    </rPh>
    <rPh sb="2" eb="5">
      <t>センイズ</t>
    </rPh>
    <rPh sb="6" eb="8">
      <t>キジュツ</t>
    </rPh>
    <phoneticPr fontId="2"/>
  </si>
  <si>
    <t>全体フローに登場した全ての画面を一覧に記述したもの。</t>
    <rPh sb="0" eb="2">
      <t>ゼンタイ</t>
    </rPh>
    <rPh sb="6" eb="8">
      <t>トウジョウ</t>
    </rPh>
    <rPh sb="10" eb="11">
      <t>スベ</t>
    </rPh>
    <rPh sb="13" eb="15">
      <t>ガメン</t>
    </rPh>
    <rPh sb="16" eb="18">
      <t>イチラン</t>
    </rPh>
    <rPh sb="19" eb="21">
      <t>キジュツ</t>
    </rPh>
    <phoneticPr fontId="2"/>
  </si>
  <si>
    <t>一覧表項目説明</t>
    <rPh sb="0" eb="3">
      <t>イチランヒョウ</t>
    </rPh>
    <rPh sb="3" eb="5">
      <t>コウモク</t>
    </rPh>
    <rPh sb="5" eb="7">
      <t>セツメイ</t>
    </rPh>
    <phoneticPr fontId="2"/>
  </si>
  <si>
    <t>表の項目ごとに説明をまとめたもの。</t>
    <rPh sb="0" eb="1">
      <t>ヒョウ</t>
    </rPh>
    <rPh sb="2" eb="4">
      <t>コウモク</t>
    </rPh>
    <rPh sb="7" eb="9">
      <t>セツメイ</t>
    </rPh>
    <phoneticPr fontId="2"/>
  </si>
  <si>
    <t>グラフィック一覧</t>
    <rPh sb="6" eb="8">
      <t>イチラン</t>
    </rPh>
    <phoneticPr fontId="2"/>
  </si>
  <si>
    <t>必要な絵素材の一覧を記述したもの。</t>
    <rPh sb="0" eb="2">
      <t>ヒツヨウ</t>
    </rPh>
    <rPh sb="3" eb="4">
      <t>エ</t>
    </rPh>
    <rPh sb="4" eb="6">
      <t>ソザイ</t>
    </rPh>
    <rPh sb="7" eb="9">
      <t>イチラン</t>
    </rPh>
    <rPh sb="10" eb="12">
      <t>キジュツ</t>
    </rPh>
    <phoneticPr fontId="2"/>
  </si>
  <si>
    <t>サウンド一覧</t>
    <rPh sb="4" eb="6">
      <t>イチラン</t>
    </rPh>
    <phoneticPr fontId="2"/>
  </si>
  <si>
    <t>必要な音素材の一覧を記述したもの。</t>
    <rPh sb="0" eb="2">
      <t>ヒツヨウ</t>
    </rPh>
    <rPh sb="3" eb="4">
      <t>オト</t>
    </rPh>
    <rPh sb="4" eb="6">
      <t>ソザイ</t>
    </rPh>
    <rPh sb="7" eb="9">
      <t>イチラン</t>
    </rPh>
    <rPh sb="10" eb="12">
      <t>キジュツ</t>
    </rPh>
    <phoneticPr fontId="2"/>
  </si>
  <si>
    <t>パラメータ一覧</t>
    <rPh sb="5" eb="7">
      <t>イチラン</t>
    </rPh>
    <phoneticPr fontId="2"/>
  </si>
  <si>
    <t>ゲーム内パラメータを一覧に記述したもの。</t>
    <rPh sb="3" eb="4">
      <t>ナイ</t>
    </rPh>
    <rPh sb="10" eb="12">
      <t>イチラン</t>
    </rPh>
    <rPh sb="13" eb="15">
      <t>キジュツ</t>
    </rPh>
    <phoneticPr fontId="2"/>
  </si>
  <si>
    <t>データ一覧</t>
    <rPh sb="3" eb="5">
      <t>イチラン</t>
    </rPh>
    <phoneticPr fontId="2"/>
  </si>
  <si>
    <t>実データを一覧に記述したもの。</t>
    <rPh sb="0" eb="1">
      <t>ジツ</t>
    </rPh>
    <rPh sb="5" eb="7">
      <t>イチラン</t>
    </rPh>
    <rPh sb="8" eb="10">
      <t>キジュツ</t>
    </rPh>
    <phoneticPr fontId="2"/>
  </si>
  <si>
    <t>シナリオ一覧</t>
    <rPh sb="4" eb="6">
      <t>イチラン</t>
    </rPh>
    <phoneticPr fontId="2"/>
  </si>
  <si>
    <t>必要な文字情報を一覧に記述したもの。</t>
    <rPh sb="0" eb="2">
      <t>ヒツヨウ</t>
    </rPh>
    <rPh sb="3" eb="5">
      <t>モジ</t>
    </rPh>
    <rPh sb="5" eb="7">
      <t>ジョウホウ</t>
    </rPh>
    <rPh sb="8" eb="10">
      <t>イチラン</t>
    </rPh>
    <rPh sb="11" eb="13">
      <t>キジュツ</t>
    </rPh>
    <phoneticPr fontId="2"/>
  </si>
  <si>
    <t>スプライト一覧</t>
    <rPh sb="5" eb="7">
      <t>イチラン</t>
    </rPh>
    <phoneticPr fontId="2"/>
  </si>
  <si>
    <t>スプライト設定の一覧を記載したもの。</t>
    <rPh sb="5" eb="7">
      <t>セッテイ</t>
    </rPh>
    <rPh sb="8" eb="10">
      <t>イチラン</t>
    </rPh>
    <rPh sb="11" eb="13">
      <t>キサイ</t>
    </rPh>
    <phoneticPr fontId="2"/>
  </si>
  <si>
    <t>デバッグリスト</t>
    <phoneticPr fontId="2"/>
  </si>
  <si>
    <t>エラー発生履歴</t>
    <rPh sb="3" eb="5">
      <t>ハッセイ</t>
    </rPh>
    <rPh sb="5" eb="7">
      <t>リレキ</t>
    </rPh>
    <phoneticPr fontId="2"/>
  </si>
  <si>
    <t>基本情報</t>
    <rPh sb="0" eb="2">
      <t>キホン</t>
    </rPh>
    <rPh sb="2" eb="4">
      <t>ジョウホウ</t>
    </rPh>
    <phoneticPr fontId="2"/>
  </si>
  <si>
    <t>タイトル</t>
  </si>
  <si>
    <t>ジャンル</t>
    <phoneticPr fontId="2"/>
  </si>
  <si>
    <t>ターゲットユーザー</t>
    <phoneticPr fontId="2"/>
  </si>
  <si>
    <t>プラットフォーム</t>
  </si>
  <si>
    <t>設定仕様</t>
    <rPh sb="0" eb="4">
      <t>セッテイシヨウ</t>
    </rPh>
    <phoneticPr fontId="2"/>
  </si>
  <si>
    <t>▼プラットフォーム</t>
    <phoneticPr fontId="2"/>
  </si>
  <si>
    <t>▼画面解像度</t>
    <rPh sb="1" eb="3">
      <t>ガメン</t>
    </rPh>
    <rPh sb="3" eb="6">
      <t>カイゾウド</t>
    </rPh>
    <phoneticPr fontId="2"/>
  </si>
  <si>
    <t>▼入力装置</t>
    <rPh sb="1" eb="3">
      <t>ニュウリョク</t>
    </rPh>
    <rPh sb="3" eb="5">
      <t>ソウチ</t>
    </rPh>
    <phoneticPr fontId="2"/>
  </si>
  <si>
    <t>▼通信機器</t>
    <rPh sb="1" eb="3">
      <t>ツウシン</t>
    </rPh>
    <rPh sb="3" eb="5">
      <t>キキ</t>
    </rPh>
    <phoneticPr fontId="2"/>
  </si>
  <si>
    <t>使用しない</t>
    <rPh sb="0" eb="2">
      <t>シヨウ</t>
    </rPh>
    <phoneticPr fontId="2"/>
  </si>
  <si>
    <t>▼勝利条件</t>
    <rPh sb="1" eb="3">
      <t>ショウリ</t>
    </rPh>
    <rPh sb="3" eb="5">
      <t>ジョウケン</t>
    </rPh>
    <phoneticPr fontId="2"/>
  </si>
  <si>
    <t>▼敗北条件</t>
    <rPh sb="1" eb="3">
      <t>ハイボク</t>
    </rPh>
    <rPh sb="3" eb="5">
      <t>ジョウケン</t>
    </rPh>
    <phoneticPr fontId="2"/>
  </si>
  <si>
    <t>▼ゲームの流れ</t>
    <rPh sb="5" eb="6">
      <t>ナガ</t>
    </rPh>
    <phoneticPr fontId="2"/>
  </si>
  <si>
    <t>初期設定</t>
    <rPh sb="0" eb="2">
      <t>ショキ</t>
    </rPh>
    <rPh sb="2" eb="4">
      <t>セッテイ</t>
    </rPh>
    <phoneticPr fontId="2"/>
  </si>
  <si>
    <t>タイトル画面</t>
    <rPh sb="4" eb="6">
      <t>ガメン</t>
    </rPh>
    <phoneticPr fontId="2"/>
  </si>
  <si>
    <t>Optionを選択</t>
    <rPh sb="7" eb="9">
      <t>センタク</t>
    </rPh>
    <phoneticPr fontId="2"/>
  </si>
  <si>
    <t>オプション画面</t>
    <rPh sb="5" eb="7">
      <t>ガメン</t>
    </rPh>
    <phoneticPr fontId="2"/>
  </si>
  <si>
    <t>戻るを選択</t>
    <rPh sb="0" eb="1">
      <t>モド</t>
    </rPh>
    <rPh sb="3" eb="5">
      <t>センタク</t>
    </rPh>
    <phoneticPr fontId="2"/>
  </si>
  <si>
    <t>VS.を選択</t>
    <rPh sb="4" eb="6">
      <t>センタク</t>
    </rPh>
    <phoneticPr fontId="2"/>
  </si>
  <si>
    <t>Missionを選択</t>
    <rPh sb="8" eb="10">
      <t>センタク</t>
    </rPh>
    <phoneticPr fontId="2"/>
  </si>
  <si>
    <t>編成画面</t>
    <rPh sb="0" eb="2">
      <t>ヘンセイ</t>
    </rPh>
    <rPh sb="2" eb="4">
      <t>ガメン</t>
    </rPh>
    <phoneticPr fontId="2"/>
  </si>
  <si>
    <t>Mission
開始デモ</t>
    <rPh sb="8" eb="10">
      <t>カイシ</t>
    </rPh>
    <phoneticPr fontId="2"/>
  </si>
  <si>
    <t>時間切れor</t>
    <rPh sb="0" eb="2">
      <t>ジカン</t>
    </rPh>
    <rPh sb="2" eb="3">
      <t>ギ</t>
    </rPh>
    <phoneticPr fontId="2"/>
  </si>
  <si>
    <t>Hit Any Key</t>
    <phoneticPr fontId="2"/>
  </si>
  <si>
    <t>両者完了</t>
    <rPh sb="0" eb="2">
      <t>リョウシャ</t>
    </rPh>
    <rPh sb="2" eb="4">
      <t>カンリョウ</t>
    </rPh>
    <phoneticPr fontId="2"/>
  </si>
  <si>
    <t>メイン画面</t>
    <rPh sb="3" eb="5">
      <t>ガメン</t>
    </rPh>
    <phoneticPr fontId="2"/>
  </si>
  <si>
    <t>陣地陥落</t>
    <rPh sb="0" eb="2">
      <t>ジンチ</t>
    </rPh>
    <rPh sb="2" eb="4">
      <t>カンラク</t>
    </rPh>
    <phoneticPr fontId="2"/>
  </si>
  <si>
    <t>リザルト画面</t>
    <rPh sb="4" eb="6">
      <t>ガメン</t>
    </rPh>
    <phoneticPr fontId="2"/>
  </si>
  <si>
    <t>No</t>
    <phoneticPr fontId="2"/>
  </si>
  <si>
    <t>Yes</t>
    <phoneticPr fontId="2"/>
  </si>
  <si>
    <t>Mission?</t>
    <phoneticPr fontId="2"/>
  </si>
  <si>
    <t>勝利？</t>
    <rPh sb="0" eb="2">
      <t>ショウリ</t>
    </rPh>
    <phoneticPr fontId="2"/>
  </si>
  <si>
    <t>ゲームオーバー
画面</t>
    <rPh sb="8" eb="10">
      <t>ガメン</t>
    </rPh>
    <phoneticPr fontId="2"/>
  </si>
  <si>
    <t>Mission
クリアデモ</t>
    <phoneticPr fontId="2"/>
  </si>
  <si>
    <t>最終Mission?</t>
    <rPh sb="0" eb="2">
      <t>サイシュウ</t>
    </rPh>
    <phoneticPr fontId="2"/>
  </si>
  <si>
    <t>エンディング
画面</t>
    <rPh sb="7" eb="9">
      <t>ガメン</t>
    </rPh>
    <phoneticPr fontId="2"/>
  </si>
  <si>
    <t>ラベル一覧</t>
    <rPh sb="3" eb="5">
      <t>イチラン</t>
    </rPh>
    <phoneticPr fontId="2"/>
  </si>
  <si>
    <t>ラベル名</t>
    <rPh sb="3" eb="4">
      <t>メイ</t>
    </rPh>
    <phoneticPr fontId="2"/>
  </si>
  <si>
    <t>タイトルフロー</t>
    <phoneticPr fontId="2"/>
  </si>
  <si>
    <t>・データ初期化</t>
    <rPh sb="4" eb="7">
      <t>ショキカ</t>
    </rPh>
    <phoneticPr fontId="2"/>
  </si>
  <si>
    <t>↓</t>
    <phoneticPr fontId="2"/>
  </si>
  <si>
    <t>ゲームメインフロー</t>
    <phoneticPr fontId="2"/>
  </si>
  <si>
    <t>・画面サイズ設定</t>
    <rPh sb="1" eb="3">
      <t>ガメン</t>
    </rPh>
    <rPh sb="6" eb="8">
      <t>セッテイ</t>
    </rPh>
    <phoneticPr fontId="2"/>
  </si>
  <si>
    <t>・ステージ描画</t>
    <rPh sb="5" eb="7">
      <t>ビョウガ</t>
    </rPh>
    <phoneticPr fontId="2"/>
  </si>
  <si>
    <t>９９秒間
ループ</t>
    <rPh sb="2" eb="3">
      <t>ビョウ</t>
    </rPh>
    <rPh sb="3" eb="4">
      <t>カン</t>
    </rPh>
    <phoneticPr fontId="2"/>
  </si>
  <si>
    <t>キー入力</t>
    <rPh sb="2" eb="4">
      <t>ニュウリョク</t>
    </rPh>
    <phoneticPr fontId="2"/>
  </si>
  <si>
    <t>・カーソル移動</t>
    <rPh sb="5" eb="7">
      <t>イドウ</t>
    </rPh>
    <phoneticPr fontId="2"/>
  </si>
  <si>
    <t>・ユニット選択</t>
    <rPh sb="5" eb="7">
      <t>センタク</t>
    </rPh>
    <phoneticPr fontId="2"/>
  </si>
  <si>
    <t>ユニット生成</t>
    <rPh sb="4" eb="6">
      <t>セイセイ</t>
    </rPh>
    <phoneticPr fontId="2"/>
  </si>
  <si>
    <t>・兵種代入</t>
    <rPh sb="1" eb="3">
      <t>ヘイシュ</t>
    </rPh>
    <rPh sb="3" eb="5">
      <t>ダイニュウ</t>
    </rPh>
    <phoneticPr fontId="2"/>
  </si>
  <si>
    <t>・初期位置設定</t>
    <rPh sb="1" eb="3">
      <t>ショキ</t>
    </rPh>
    <rPh sb="3" eb="5">
      <t>イチ</t>
    </rPh>
    <rPh sb="5" eb="7">
      <t>セッテイ</t>
    </rPh>
    <phoneticPr fontId="2"/>
  </si>
  <si>
    <t>ユニット移動</t>
    <rPh sb="4" eb="6">
      <t>イドウ</t>
    </rPh>
    <phoneticPr fontId="2"/>
  </si>
  <si>
    <t>・地形との当たり判定</t>
    <rPh sb="1" eb="3">
      <t>チケイ</t>
    </rPh>
    <rPh sb="5" eb="6">
      <t>ア</t>
    </rPh>
    <rPh sb="8" eb="10">
      <t>ハンテイ</t>
    </rPh>
    <phoneticPr fontId="2"/>
  </si>
  <si>
    <t>衝突判定</t>
    <rPh sb="0" eb="2">
      <t>ショウトツ</t>
    </rPh>
    <rPh sb="2" eb="4">
      <t>ハンテイ</t>
    </rPh>
    <phoneticPr fontId="2"/>
  </si>
  <si>
    <t>・壁との当たり判定</t>
    <rPh sb="1" eb="2">
      <t>カベ</t>
    </rPh>
    <rPh sb="4" eb="5">
      <t>ア</t>
    </rPh>
    <rPh sb="7" eb="9">
      <t>ハンテイ</t>
    </rPh>
    <phoneticPr fontId="2"/>
  </si>
  <si>
    <t>・陣地との当たり判定</t>
    <rPh sb="1" eb="3">
      <t>ジンチ</t>
    </rPh>
    <rPh sb="5" eb="6">
      <t>ア</t>
    </rPh>
    <rPh sb="8" eb="10">
      <t>ハンテイ</t>
    </rPh>
    <phoneticPr fontId="2"/>
  </si>
  <si>
    <t>・敵との当たり判定</t>
    <rPh sb="1" eb="2">
      <t>テキ</t>
    </rPh>
    <rPh sb="4" eb="5">
      <t>ア</t>
    </rPh>
    <rPh sb="7" eb="9">
      <t>ハンテイ</t>
    </rPh>
    <phoneticPr fontId="2"/>
  </si>
  <si>
    <t>・味方との当たり判定</t>
    <rPh sb="1" eb="3">
      <t>ミカタ</t>
    </rPh>
    <rPh sb="5" eb="6">
      <t>ア</t>
    </rPh>
    <rPh sb="8" eb="10">
      <t>ハンテイ</t>
    </rPh>
    <phoneticPr fontId="2"/>
  </si>
  <si>
    <t>攻撃判定</t>
    <rPh sb="0" eb="2">
      <t>コウゲキ</t>
    </rPh>
    <rPh sb="2" eb="4">
      <t>ハンテイ</t>
    </rPh>
    <phoneticPr fontId="2"/>
  </si>
  <si>
    <t>・ユニットダメージ判定</t>
    <rPh sb="9" eb="11">
      <t>ハンテイ</t>
    </rPh>
    <phoneticPr fontId="2"/>
  </si>
  <si>
    <t>・陣地陥落判定</t>
    <rPh sb="1" eb="3">
      <t>ジンチ</t>
    </rPh>
    <rPh sb="3" eb="5">
      <t>カンラク</t>
    </rPh>
    <rPh sb="5" eb="7">
      <t>ハンテイ</t>
    </rPh>
    <phoneticPr fontId="2"/>
  </si>
  <si>
    <t>タイムを減らす</t>
    <rPh sb="4" eb="5">
      <t>ヘ</t>
    </rPh>
    <phoneticPr fontId="2"/>
  </si>
  <si>
    <t>操作仕様</t>
    <rPh sb="0" eb="2">
      <t>ソウサ</t>
    </rPh>
    <rPh sb="2" eb="4">
      <t>シヨウ</t>
    </rPh>
    <phoneticPr fontId="2"/>
  </si>
  <si>
    <t>Ｌスティック</t>
    <phoneticPr fontId="2"/>
  </si>
  <si>
    <t>左</t>
    <rPh sb="0" eb="1">
      <t>ヒダリ</t>
    </rPh>
    <phoneticPr fontId="2"/>
  </si>
  <si>
    <t>　＊＊＊ 未使用 ＊＊＊</t>
    <rPh sb="5" eb="8">
      <t>ミシヨウ</t>
    </rPh>
    <phoneticPr fontId="2"/>
  </si>
  <si>
    <t>右</t>
    <rPh sb="0" eb="1">
      <t>ミギ</t>
    </rPh>
    <phoneticPr fontId="2"/>
  </si>
  <si>
    <t>上</t>
    <rPh sb="0" eb="1">
      <t>ウエ</t>
    </rPh>
    <phoneticPr fontId="2"/>
  </si>
  <si>
    <t>メニューカーソル左へ移動</t>
    <rPh sb="8" eb="9">
      <t>ヒダリ</t>
    </rPh>
    <rPh sb="10" eb="12">
      <t>イドウ</t>
    </rPh>
    <phoneticPr fontId="2"/>
  </si>
  <si>
    <t>下</t>
    <rPh sb="0" eb="1">
      <t>シタ</t>
    </rPh>
    <phoneticPr fontId="2"/>
  </si>
  <si>
    <t>メニューカーソル右へ移動</t>
    <rPh sb="8" eb="9">
      <t>ミギ</t>
    </rPh>
    <rPh sb="10" eb="12">
      <t>イドウ</t>
    </rPh>
    <phoneticPr fontId="2"/>
  </si>
  <si>
    <t>押</t>
    <rPh sb="0" eb="1">
      <t>オ</t>
    </rPh>
    <phoneticPr fontId="2"/>
  </si>
  <si>
    <t>ボタン</t>
    <phoneticPr fontId="2"/>
  </si>
  <si>
    <t>メニュー選択決定</t>
    <rPh sb="4" eb="6">
      <t>センタク</t>
    </rPh>
    <rPh sb="6" eb="8">
      <t>ケッテイ</t>
    </rPh>
    <phoneticPr fontId="2"/>
  </si>
  <si>
    <t>V.S.</t>
    <phoneticPr fontId="2"/>
  </si>
  <si>
    <t>Mission</t>
    <phoneticPr fontId="2"/>
  </si>
  <si>
    <t>Option</t>
    <phoneticPr fontId="2"/>
  </si>
  <si>
    <t>登録画面</t>
    <rPh sb="0" eb="2">
      <t>トウロク</t>
    </rPh>
    <rPh sb="2" eb="4">
      <t>ガメン</t>
    </rPh>
    <phoneticPr fontId="2"/>
  </si>
  <si>
    <t>ゲームメイン画面</t>
    <rPh sb="6" eb="8">
      <t>ガメン</t>
    </rPh>
    <phoneticPr fontId="2"/>
  </si>
  <si>
    <t>メインフロー</t>
    <phoneticPr fontId="2"/>
  </si>
  <si>
    <t>１Ｐ</t>
    <phoneticPr fontId="2"/>
  </si>
  <si>
    <t>○</t>
    <phoneticPr fontId="2"/>
  </si>
  <si>
    <t>△</t>
    <phoneticPr fontId="2"/>
  </si>
  <si>
    <t>対</t>
    <rPh sb="0" eb="1">
      <t>タイ</t>
    </rPh>
    <phoneticPr fontId="2"/>
  </si>
  <si>
    <t>２Ｐ</t>
    <phoneticPr fontId="2"/>
  </si>
  <si>
    <t>□</t>
    <phoneticPr fontId="2"/>
  </si>
  <si>
    <t>×</t>
    <phoneticPr fontId="2"/>
  </si>
  <si>
    <t>➕</t>
    <phoneticPr fontId="2"/>
  </si>
  <si>
    <t>番号</t>
    <rPh sb="0" eb="2">
      <t>バンゴウ</t>
    </rPh>
    <phoneticPr fontId="2"/>
  </si>
  <si>
    <t>名前</t>
    <rPh sb="0" eb="2">
      <t>ナマエ</t>
    </rPh>
    <phoneticPr fontId="2"/>
  </si>
  <si>
    <t>使用場所</t>
    <rPh sb="0" eb="2">
      <t>シヨウ</t>
    </rPh>
    <rPh sb="2" eb="4">
      <t>バショ</t>
    </rPh>
    <phoneticPr fontId="2"/>
  </si>
  <si>
    <t>用途</t>
    <rPh sb="0" eb="2">
      <t>ヨウト</t>
    </rPh>
    <phoneticPr fontId="2"/>
  </si>
  <si>
    <t>サイズ</t>
    <phoneticPr fontId="2"/>
  </si>
  <si>
    <t>枚数</t>
    <rPh sb="0" eb="2">
      <t>マイスウ</t>
    </rPh>
    <phoneticPr fontId="2"/>
  </si>
  <si>
    <t>参考</t>
    <rPh sb="0" eb="2">
      <t>サンコウ</t>
    </rPh>
    <phoneticPr fontId="2"/>
  </si>
  <si>
    <t>優
先度</t>
    <rPh sb="0" eb="1">
      <t>ユウ</t>
    </rPh>
    <rPh sb="2" eb="3">
      <t>サキ</t>
    </rPh>
    <rPh sb="3" eb="4">
      <t>ド</t>
    </rPh>
    <phoneticPr fontId="2"/>
  </si>
  <si>
    <t>担当</t>
    <rPh sb="0" eb="2">
      <t>タントウ</t>
    </rPh>
    <phoneticPr fontId="2"/>
  </si>
  <si>
    <t>難
易度</t>
    <rPh sb="0" eb="1">
      <t>ナン</t>
    </rPh>
    <rPh sb="2" eb="3">
      <t>イ</t>
    </rPh>
    <rPh sb="3" eb="4">
      <t>ド</t>
    </rPh>
    <phoneticPr fontId="2"/>
  </si>
  <si>
    <t>進捗</t>
    <rPh sb="0" eb="2">
      <t>シンチョク</t>
    </rPh>
    <phoneticPr fontId="2"/>
  </si>
  <si>
    <t>依頼日</t>
    <rPh sb="0" eb="3">
      <t>イライビ</t>
    </rPh>
    <phoneticPr fontId="2"/>
  </si>
  <si>
    <t>完了日</t>
    <rPh sb="0" eb="3">
      <t>カンリョウビ</t>
    </rPh>
    <phoneticPr fontId="2"/>
  </si>
  <si>
    <t>ファイル</t>
    <phoneticPr fontId="2"/>
  </si>
  <si>
    <t>備考</t>
    <rPh sb="0" eb="2">
      <t>ビコウ</t>
    </rPh>
    <phoneticPr fontId="2"/>
  </si>
  <si>
    <t>X</t>
    <phoneticPr fontId="2"/>
  </si>
  <si>
    <t>Y</t>
    <phoneticPr fontId="2"/>
  </si>
  <si>
    <t>時間が無ければ№7を左右反転</t>
    <rPh sb="0" eb="2">
      <t>ジカン</t>
    </rPh>
    <rPh sb="3" eb="4">
      <t>ナ</t>
    </rPh>
    <rPh sb="10" eb="12">
      <t>サユウ</t>
    </rPh>
    <rPh sb="12" eb="14">
      <t>ハンテン</t>
    </rPh>
    <phoneticPr fontId="2"/>
  </si>
  <si>
    <t>時間が無ければ№10を左右反転で色変え</t>
    <rPh sb="0" eb="2">
      <t>ジカン</t>
    </rPh>
    <rPh sb="3" eb="4">
      <t>ナ</t>
    </rPh>
    <rPh sb="11" eb="13">
      <t>サユウ</t>
    </rPh>
    <rPh sb="13" eb="15">
      <t>ハンテン</t>
    </rPh>
    <rPh sb="16" eb="17">
      <t>イロ</t>
    </rPh>
    <rPh sb="17" eb="18">
      <t>カ</t>
    </rPh>
    <phoneticPr fontId="2"/>
  </si>
  <si>
    <t>時間が無ければ№12を応用</t>
    <rPh sb="0" eb="2">
      <t>ジカン</t>
    </rPh>
    <rPh sb="3" eb="4">
      <t>ナ</t>
    </rPh>
    <rPh sb="11" eb="13">
      <t>オウヨウ</t>
    </rPh>
    <phoneticPr fontId="2"/>
  </si>
  <si>
    <t>タイトル</t>
    <phoneticPr fontId="2"/>
  </si>
  <si>
    <t>種類</t>
    <rPh sb="0" eb="2">
      <t>シュルイ</t>
    </rPh>
    <phoneticPr fontId="2"/>
  </si>
  <si>
    <t>長さ</t>
    <rPh sb="0" eb="1">
      <t>ナガ</t>
    </rPh>
    <phoneticPr fontId="2"/>
  </si>
  <si>
    <t>イメージ</t>
    <phoneticPr fontId="2"/>
  </si>
  <si>
    <t>優先
度</t>
    <rPh sb="0" eb="1">
      <t>ユウ</t>
    </rPh>
    <rPh sb="1" eb="2">
      <t>サキ</t>
    </rPh>
    <rPh sb="3" eb="4">
      <t>ド</t>
    </rPh>
    <phoneticPr fontId="2"/>
  </si>
  <si>
    <t>難易
度</t>
    <rPh sb="0" eb="1">
      <t>ナン</t>
    </rPh>
    <rPh sb="1" eb="2">
      <t>イ</t>
    </rPh>
    <rPh sb="3" eb="4">
      <t>ド</t>
    </rPh>
    <phoneticPr fontId="2"/>
  </si>
  <si>
    <t>締切日</t>
    <rPh sb="0" eb="3">
      <t>シメキリビ</t>
    </rPh>
    <phoneticPr fontId="2"/>
  </si>
  <si>
    <t>パラメータ・用語一覧</t>
    <rPh sb="6" eb="8">
      <t>ヨウゴ</t>
    </rPh>
    <rPh sb="8" eb="10">
      <t>イチラン</t>
    </rPh>
    <phoneticPr fontId="2"/>
  </si>
  <si>
    <t>パラメータ表</t>
    <rPh sb="5" eb="6">
      <t>ヒョウ</t>
    </rPh>
    <phoneticPr fontId="2"/>
  </si>
  <si>
    <t>変数名</t>
    <rPh sb="0" eb="3">
      <t>ヘンスウメイ</t>
    </rPh>
    <phoneticPr fontId="2"/>
  </si>
  <si>
    <t>用語集</t>
    <rPh sb="0" eb="2">
      <t>ヨウゴ</t>
    </rPh>
    <rPh sb="2" eb="3">
      <t>シュウ</t>
    </rPh>
    <phoneticPr fontId="2"/>
  </si>
  <si>
    <t>変数一覧</t>
    <rPh sb="0" eb="2">
      <t>ヘンスウ</t>
    </rPh>
    <rPh sb="2" eb="4">
      <t>イチラン</t>
    </rPh>
    <phoneticPr fontId="2"/>
  </si>
  <si>
    <t>変数名</t>
    <rPh sb="0" eb="3">
      <t>ヘンスウメイ</t>
    </rPh>
    <phoneticPr fontId="5"/>
  </si>
  <si>
    <t>型</t>
    <rPh sb="0" eb="1">
      <t>カタ</t>
    </rPh>
    <phoneticPr fontId="5"/>
  </si>
  <si>
    <t>既定値</t>
    <rPh sb="0" eb="3">
      <t>キテイチ</t>
    </rPh>
    <phoneticPr fontId="5"/>
  </si>
  <si>
    <t>最小</t>
    <rPh sb="0" eb="2">
      <t>サイショウ</t>
    </rPh>
    <phoneticPr fontId="5"/>
  </si>
  <si>
    <t>最大</t>
    <rPh sb="0" eb="2">
      <t>サイダイ</t>
    </rPh>
    <phoneticPr fontId="5"/>
  </si>
  <si>
    <t>用途</t>
    <rPh sb="0" eb="2">
      <t>ヨウト</t>
    </rPh>
    <phoneticPr fontId="5"/>
  </si>
  <si>
    <t>ダメージ</t>
    <phoneticPr fontId="5"/>
  </si>
  <si>
    <t>０：タイトル　１：オプション　２：編成　3：メイン　4：リザルト　5：</t>
    <rPh sb="17" eb="19">
      <t>ヘンセイ</t>
    </rPh>
    <phoneticPr fontId="2"/>
  </si>
  <si>
    <t>陣地管理　（　プレイヤー　，　陣地耐久値・待機兵数○・△・□・×　）</t>
    <rPh sb="0" eb="2">
      <t>ジンチ</t>
    </rPh>
    <rPh sb="2" eb="4">
      <t>カンリ</t>
    </rPh>
    <rPh sb="15" eb="17">
      <t>ジンチ</t>
    </rPh>
    <rPh sb="17" eb="19">
      <t>タイキュウ</t>
    </rPh>
    <rPh sb="19" eb="20">
      <t>チ</t>
    </rPh>
    <rPh sb="21" eb="23">
      <t>タイキ</t>
    </rPh>
    <rPh sb="23" eb="24">
      <t>ヘイ</t>
    </rPh>
    <rPh sb="24" eb="25">
      <t>スウ</t>
    </rPh>
    <phoneticPr fontId="2"/>
  </si>
  <si>
    <t>部隊選択，カーソル固定，表示</t>
    <rPh sb="0" eb="2">
      <t>ブタイ</t>
    </rPh>
    <rPh sb="2" eb="4">
      <t>センタク</t>
    </rPh>
    <rPh sb="9" eb="11">
      <t>コテイ</t>
    </rPh>
    <rPh sb="12" eb="14">
      <t>ヒョウジ</t>
    </rPh>
    <phoneticPr fontId="2"/>
  </si>
  <si>
    <t>データ表</t>
    <rPh sb="3" eb="4">
      <t>ヒョウ</t>
    </rPh>
    <phoneticPr fontId="2"/>
  </si>
  <si>
    <t>スプライト設定</t>
    <rPh sb="5" eb="7">
      <t>セッテイ</t>
    </rPh>
    <phoneticPr fontId="2"/>
  </si>
  <si>
    <t>（0 ～ 4095）</t>
    <phoneticPr fontId="2"/>
  </si>
  <si>
    <t>開始番号</t>
    <rPh sb="0" eb="2">
      <t>カイシ</t>
    </rPh>
    <rPh sb="2" eb="4">
      <t>バンゴウ</t>
    </rPh>
    <phoneticPr fontId="2"/>
  </si>
  <si>
    <t>～</t>
    <phoneticPr fontId="2"/>
  </si>
  <si>
    <t>終了番号</t>
    <rPh sb="0" eb="2">
      <t>シュウリョウ</t>
    </rPh>
    <rPh sb="2" eb="4">
      <t>バンゴウ</t>
    </rPh>
    <phoneticPr fontId="2"/>
  </si>
  <si>
    <t>個数</t>
    <rPh sb="0" eb="2">
      <t>コスウ</t>
    </rPh>
    <phoneticPr fontId="2"/>
  </si>
  <si>
    <t>定義番号</t>
    <rPh sb="0" eb="2">
      <t>テイギ</t>
    </rPh>
    <rPh sb="2" eb="4">
      <t>バンゴウ</t>
    </rPh>
    <phoneticPr fontId="2"/>
  </si>
  <si>
    <t>プレイヤー１のユニット種類</t>
    <rPh sb="11" eb="13">
      <t>シュルイ</t>
    </rPh>
    <phoneticPr fontId="2"/>
  </si>
  <si>
    <t>プレイヤー１のユニット矢印</t>
    <rPh sb="11" eb="13">
      <t>ヤジルシ</t>
    </rPh>
    <phoneticPr fontId="2"/>
  </si>
  <si>
    <t>プレイヤー２のユニット種類</t>
    <rPh sb="11" eb="13">
      <t>シュルイ</t>
    </rPh>
    <phoneticPr fontId="2"/>
  </si>
  <si>
    <t>プレイヤー２のユニット矢印</t>
    <rPh sb="11" eb="13">
      <t>ヤジルシ</t>
    </rPh>
    <phoneticPr fontId="2"/>
  </si>
  <si>
    <t>プレイヤー１部隊数用のグー</t>
    <rPh sb="6" eb="8">
      <t>ブタイ</t>
    </rPh>
    <rPh sb="8" eb="9">
      <t>スウ</t>
    </rPh>
    <rPh sb="9" eb="10">
      <t>ヨウ</t>
    </rPh>
    <phoneticPr fontId="2"/>
  </si>
  <si>
    <t>プレイヤー１部隊数用のチョキ</t>
    <phoneticPr fontId="2"/>
  </si>
  <si>
    <t>プレイヤー１部隊数用のパー</t>
    <phoneticPr fontId="2"/>
  </si>
  <si>
    <t>プレイヤー１部隊数用のボム</t>
    <phoneticPr fontId="2"/>
  </si>
  <si>
    <t>プレイヤー２部隊数用のグー</t>
    <phoneticPr fontId="2"/>
  </si>
  <si>
    <t>プレイヤー２部隊数用のチョキ</t>
    <phoneticPr fontId="2"/>
  </si>
  <si>
    <t>プレイヤー２部隊数用のパー</t>
    <phoneticPr fontId="2"/>
  </si>
  <si>
    <t>プレイヤー２部隊数用のボム</t>
    <phoneticPr fontId="2"/>
  </si>
  <si>
    <t>プレイヤー１カーソル用のグー</t>
    <rPh sb="10" eb="11">
      <t>ヨウ</t>
    </rPh>
    <phoneticPr fontId="2"/>
  </si>
  <si>
    <t>プレイヤー１カーソル用のチョキ</t>
    <phoneticPr fontId="2"/>
  </si>
  <si>
    <t>プレイヤー１カーソル用のパー</t>
    <phoneticPr fontId="2"/>
  </si>
  <si>
    <t>プレイヤー１カーソル用のボム</t>
    <phoneticPr fontId="2"/>
  </si>
  <si>
    <t>プレイヤー２カーソル用のグー</t>
    <phoneticPr fontId="2"/>
  </si>
  <si>
    <t>プレイヤー２カーソル用のチョキ</t>
    <phoneticPr fontId="2"/>
  </si>
  <si>
    <t>プレイヤー２カーソル用のパー</t>
    <phoneticPr fontId="2"/>
  </si>
  <si>
    <t>プレイヤー２カーソル用のボム</t>
    <phoneticPr fontId="2"/>
  </si>
  <si>
    <t>接触エフェクト（味方）</t>
    <rPh sb="0" eb="2">
      <t>セッショク</t>
    </rPh>
    <rPh sb="8" eb="10">
      <t>ミカタ</t>
    </rPh>
    <phoneticPr fontId="2"/>
  </si>
  <si>
    <t>接触エフェクト（相手）</t>
    <rPh sb="0" eb="2">
      <t>セッショク</t>
    </rPh>
    <rPh sb="8" eb="10">
      <t>アイテ</t>
    </rPh>
    <phoneticPr fontId="2"/>
  </si>
  <si>
    <t>接触エフェクト（陣地）</t>
    <rPh sb="0" eb="2">
      <t>セッショク</t>
    </rPh>
    <rPh sb="8" eb="10">
      <t>ジンチ</t>
    </rPh>
    <phoneticPr fontId="2"/>
  </si>
  <si>
    <t>スプライト定義</t>
    <rPh sb="5" eb="7">
      <t>テイギ</t>
    </rPh>
    <phoneticPr fontId="2"/>
  </si>
  <si>
    <t>サイズｘ,ｙ</t>
    <phoneticPr fontId="2"/>
  </si>
  <si>
    <t>いし</t>
    <phoneticPr fontId="2"/>
  </si>
  <si>
    <t>はさみ</t>
    <phoneticPr fontId="2"/>
  </si>
  <si>
    <t>かみ</t>
    <phoneticPr fontId="2"/>
  </si>
  <si>
    <t>ヘビーボム</t>
    <phoneticPr fontId="2"/>
  </si>
  <si>
    <t>グー</t>
    <phoneticPr fontId="2"/>
  </si>
  <si>
    <t>チョキ</t>
    <phoneticPr fontId="2"/>
  </si>
  <si>
    <t>パー</t>
    <phoneticPr fontId="2"/>
  </si>
  <si>
    <t>爆弾</t>
    <rPh sb="0" eb="2">
      <t>バクダン</t>
    </rPh>
    <phoneticPr fontId="2"/>
  </si>
  <si>
    <t>矢印</t>
    <rPh sb="0" eb="2">
      <t>ヤジルシ</t>
    </rPh>
    <phoneticPr fontId="2"/>
  </si>
  <si>
    <t>爆発小</t>
    <rPh sb="0" eb="2">
      <t>バクハツ</t>
    </rPh>
    <rPh sb="2" eb="3">
      <t>ショウ</t>
    </rPh>
    <phoneticPr fontId="2"/>
  </si>
  <si>
    <t>爆発大</t>
    <rPh sb="0" eb="2">
      <t>バクハツ</t>
    </rPh>
    <rPh sb="2" eb="3">
      <t>ダイ</t>
    </rPh>
    <phoneticPr fontId="2"/>
  </si>
  <si>
    <t>ストーリー</t>
    <phoneticPr fontId="2"/>
  </si>
  <si>
    <t>ノルマ（勝利条件）</t>
    <rPh sb="4" eb="6">
      <t>ショウリ</t>
    </rPh>
    <rPh sb="6" eb="8">
      <t>ジョウケン</t>
    </rPh>
    <phoneticPr fontId="2"/>
  </si>
  <si>
    <t>Mission１</t>
    <phoneticPr fontId="2"/>
  </si>
  <si>
    <t>Mission２</t>
    <phoneticPr fontId="2"/>
  </si>
  <si>
    <t>Mission３</t>
    <phoneticPr fontId="2"/>
  </si>
  <si>
    <t>Mission４</t>
    <phoneticPr fontId="2"/>
  </si>
  <si>
    <t>Mission５</t>
    <phoneticPr fontId="2"/>
  </si>
  <si>
    <t>X座標</t>
    <rPh sb="1" eb="3">
      <t>ザヒョウ</t>
    </rPh>
    <phoneticPr fontId="2"/>
  </si>
  <si>
    <t>Y座標</t>
    <rPh sb="1" eb="3">
      <t>ザヒョウ</t>
    </rPh>
    <phoneticPr fontId="2"/>
  </si>
  <si>
    <t>X距離</t>
    <rPh sb="1" eb="3">
      <t>キョリ</t>
    </rPh>
    <phoneticPr fontId="2"/>
  </si>
  <si>
    <t>Y距離</t>
    <rPh sb="1" eb="3">
      <t>キョリ</t>
    </rPh>
    <phoneticPr fontId="2"/>
  </si>
  <si>
    <t>Atan</t>
    <phoneticPr fontId="2"/>
  </si>
  <si>
    <t>Deg</t>
    <phoneticPr fontId="2"/>
  </si>
  <si>
    <t>相手角度</t>
    <rPh sb="0" eb="2">
      <t>アイテ</t>
    </rPh>
    <rPh sb="2" eb="4">
      <t>カクド</t>
    </rPh>
    <phoneticPr fontId="2"/>
  </si>
  <si>
    <t>物体A</t>
    <rPh sb="0" eb="2">
      <t>ブッタイ</t>
    </rPh>
    <phoneticPr fontId="2"/>
  </si>
  <si>
    <t>進行角</t>
    <rPh sb="0" eb="2">
      <t>シンコウ</t>
    </rPh>
    <rPh sb="2" eb="3">
      <t>カク</t>
    </rPh>
    <phoneticPr fontId="2"/>
  </si>
  <si>
    <t>B方向</t>
    <rPh sb="1" eb="3">
      <t>ホウコウ</t>
    </rPh>
    <phoneticPr fontId="2"/>
  </si>
  <si>
    <t>Aの反射角</t>
    <rPh sb="2" eb="4">
      <t>ハンシャ</t>
    </rPh>
    <rPh sb="4" eb="5">
      <t>カク</t>
    </rPh>
    <phoneticPr fontId="2"/>
  </si>
  <si>
    <t>→</t>
    <phoneticPr fontId="2"/>
  </si>
  <si>
    <t>↘</t>
    <phoneticPr fontId="2"/>
  </si>
  <si>
    <t>↙</t>
    <phoneticPr fontId="2"/>
  </si>
  <si>
    <t>←</t>
    <phoneticPr fontId="2"/>
  </si>
  <si>
    <t>↖</t>
    <phoneticPr fontId="2"/>
  </si>
  <si>
    <t>↑</t>
    <phoneticPr fontId="2"/>
  </si>
  <si>
    <t>↗</t>
    <phoneticPr fontId="2"/>
  </si>
  <si>
    <t>物体B</t>
    <rPh sb="0" eb="2">
      <t>ブッタイ</t>
    </rPh>
    <phoneticPr fontId="2"/>
  </si>
  <si>
    <t>角度範囲</t>
    <rPh sb="0" eb="2">
      <t>カクド</t>
    </rPh>
    <rPh sb="2" eb="4">
      <t>ハンイ</t>
    </rPh>
    <phoneticPr fontId="2"/>
  </si>
  <si>
    <t>　　→</t>
    <phoneticPr fontId="2"/>
  </si>
  <si>
    <t>　↘→</t>
    <phoneticPr fontId="2"/>
  </si>
  <si>
    <t>　　↘</t>
    <phoneticPr fontId="2"/>
  </si>
  <si>
    <t>　↓↘</t>
    <phoneticPr fontId="2"/>
  </si>
  <si>
    <t>　↓</t>
    <phoneticPr fontId="2"/>
  </si>
  <si>
    <t>↙↓</t>
    <phoneticPr fontId="2"/>
  </si>
  <si>
    <t>←↙</t>
    <phoneticPr fontId="2"/>
  </si>
  <si>
    <t>←↖</t>
    <phoneticPr fontId="2"/>
  </si>
  <si>
    <t>↖↑</t>
    <phoneticPr fontId="2"/>
  </si>
  <si>
    <t>　↑</t>
    <phoneticPr fontId="2"/>
  </si>
  <si>
    <t>　↑↗</t>
    <phoneticPr fontId="2"/>
  </si>
  <si>
    <t>　　↗</t>
    <phoneticPr fontId="2"/>
  </si>
  <si>
    <t>　↗→</t>
    <phoneticPr fontId="2"/>
  </si>
  <si>
    <t>エラー履歴</t>
    <rPh sb="3" eb="5">
      <t>リレキ</t>
    </rPh>
    <phoneticPr fontId="2"/>
  </si>
  <si>
    <t>説明</t>
    <rPh sb="0" eb="2">
      <t>セツメイ</t>
    </rPh>
    <phoneticPr fontId="2"/>
  </si>
  <si>
    <t>手順</t>
    <rPh sb="0" eb="2">
      <t>テジュン</t>
    </rPh>
    <phoneticPr fontId="2"/>
  </si>
  <si>
    <t>対象バージョン</t>
    <rPh sb="0" eb="2">
      <t>タイショウ</t>
    </rPh>
    <phoneticPr fontId="2"/>
  </si>
  <si>
    <t>再現性</t>
    <rPh sb="0" eb="3">
      <t>サイゲンセイ</t>
    </rPh>
    <phoneticPr fontId="2"/>
  </si>
  <si>
    <t>補足資料</t>
    <rPh sb="0" eb="2">
      <t>ホソク</t>
    </rPh>
    <rPh sb="2" eb="4">
      <t>シリョウ</t>
    </rPh>
    <phoneticPr fontId="2"/>
  </si>
  <si>
    <t>対応</t>
    <rPh sb="0" eb="2">
      <t>タイオウ</t>
    </rPh>
    <phoneticPr fontId="2"/>
  </si>
  <si>
    <t>検証</t>
    <rPh sb="0" eb="2">
      <t>ケンショウ</t>
    </rPh>
    <phoneticPr fontId="2"/>
  </si>
  <si>
    <t>衝突しない</t>
    <rPh sb="0" eb="2">
      <t>ショウトツ</t>
    </rPh>
    <phoneticPr fontId="2"/>
  </si>
  <si>
    <t>ユニットが相手ユニットをすり抜ける</t>
    <rPh sb="5" eb="7">
      <t>アイテ</t>
    </rPh>
    <rPh sb="14" eb="15">
      <t>ヌ</t>
    </rPh>
    <phoneticPr fontId="2"/>
  </si>
  <si>
    <t>反射角度が不正確</t>
    <rPh sb="0" eb="2">
      <t>ハンシャ</t>
    </rPh>
    <rPh sb="2" eb="4">
      <t>カクド</t>
    </rPh>
    <rPh sb="5" eb="8">
      <t>フセイカク</t>
    </rPh>
    <phoneticPr fontId="2"/>
  </si>
  <si>
    <t>想定外の角度に反射する</t>
    <rPh sb="0" eb="3">
      <t>ソウテイガイ</t>
    </rPh>
    <rPh sb="4" eb="6">
      <t>カクド</t>
    </rPh>
    <rPh sb="7" eb="9">
      <t>ハンシャ</t>
    </rPh>
    <phoneticPr fontId="2"/>
  </si>
  <si>
    <t>衝突判定が連続する</t>
    <rPh sb="0" eb="2">
      <t>ショウトツ</t>
    </rPh>
    <rPh sb="2" eb="4">
      <t>ハンテイ</t>
    </rPh>
    <rPh sb="5" eb="7">
      <t>レンゾク</t>
    </rPh>
    <phoneticPr fontId="2"/>
  </si>
  <si>
    <t>２体のユニットが常に衝突判定を繰り返し、社交ダンスのように回りながら進む</t>
    <rPh sb="1" eb="2">
      <t>タイ</t>
    </rPh>
    <rPh sb="8" eb="9">
      <t>ツネ</t>
    </rPh>
    <rPh sb="10" eb="12">
      <t>ショウトツ</t>
    </rPh>
    <rPh sb="12" eb="14">
      <t>ハンテイ</t>
    </rPh>
    <rPh sb="15" eb="16">
      <t>ク</t>
    </rPh>
    <rPh sb="17" eb="18">
      <t>カエ</t>
    </rPh>
    <rPh sb="20" eb="22">
      <t>シャコウ</t>
    </rPh>
    <rPh sb="29" eb="30">
      <t>マワ</t>
    </rPh>
    <rPh sb="34" eb="35">
      <t>スス</t>
    </rPh>
    <phoneticPr fontId="2"/>
  </si>
  <si>
    <t>陣地攻撃後に反転せず、衝突判定を繰り返しながら相手陣地内にめり込んでいく</t>
    <rPh sb="0" eb="2">
      <t>ジンチ</t>
    </rPh>
    <rPh sb="2" eb="4">
      <t>コウゲキ</t>
    </rPh>
    <rPh sb="4" eb="5">
      <t>ゴ</t>
    </rPh>
    <rPh sb="6" eb="8">
      <t>ハンテン</t>
    </rPh>
    <rPh sb="11" eb="13">
      <t>ショウトツ</t>
    </rPh>
    <rPh sb="13" eb="15">
      <t>ハンテイ</t>
    </rPh>
    <rPh sb="16" eb="17">
      <t>ク</t>
    </rPh>
    <rPh sb="18" eb="19">
      <t>カエ</t>
    </rPh>
    <rPh sb="23" eb="25">
      <t>アイテ</t>
    </rPh>
    <rPh sb="25" eb="27">
      <t>ジンチ</t>
    </rPh>
    <rPh sb="27" eb="28">
      <t>ナイ</t>
    </rPh>
    <rPh sb="31" eb="32">
      <t>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</si>
</sst>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;[Red]0"/>
    <numFmt numFmtId="177" formatCode="[$-F400]h:mm:ss\ AM/PM"/>
  </numFmts>
  <fonts count="12">
    <font>
      <sz val="11"/>
      <color theme="1"/>
      <name val="游ゴシック"/>
      <family val="2"/>
      <scheme val="minor"/>
    </font>
    <font>
      <sz val="11"/>
      <color theme="1"/>
      <name val="ＭＳ Ｐ明朝"/>
      <family val="2"/>
      <charset val="128"/>
    </font>
    <font>
      <sz val="6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  <font>
      <sz val="11"/>
      <color theme="1"/>
      <name val="ＭＳ Ｐ明朝"/>
      <family val="2"/>
      <charset val="128"/>
    </font>
    <font>
      <sz val="6"/>
      <name val="ＭＳ Ｐ明朝"/>
      <family val="2"/>
      <charset val="128"/>
    </font>
    <font>
      <sz val="20"/>
      <color theme="1"/>
      <name val="游ゴシック"/>
      <family val="2"/>
      <scheme val="minor"/>
    </font>
    <font>
      <sz val="20"/>
      <color theme="1"/>
      <name val="游ゴシック"/>
      <family val="3"/>
      <charset val="128"/>
      <scheme val="minor"/>
    </font>
    <font>
      <sz val="36"/>
      <color theme="1"/>
      <name val="HGP創英角ﾎﾟｯﾌﾟ体"/>
      <family val="3"/>
      <charset val="128"/>
    </font>
    <font>
      <sz val="11"/>
      <color theme="1"/>
      <name val="游ゴシック"/>
      <family val="3"/>
      <charset val="128"/>
      <scheme val="minor"/>
    </font>
    <font>
      <sz val="9"/>
      <color theme="1"/>
      <name val="游ゴシック"/>
      <family val="2"/>
      <scheme val="minor"/>
    </font>
    <font>
      <sz val="36"/>
      <color theme="1"/>
      <name val="富士ポップＰ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>
      <alignment vertical="center"/>
    </xf>
  </cellStyleXfs>
  <cellXfs count="2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6" xfId="0" applyFill="1" applyBorder="1"/>
    <xf numFmtId="0" fontId="0" fillId="0" borderId="0" xfId="0" applyAlignment="1">
      <alignment horizontal="center"/>
    </xf>
    <xf numFmtId="0" fontId="0" fillId="0" borderId="10" xfId="0" applyBorder="1"/>
    <xf numFmtId="0" fontId="0" fillId="3" borderId="9" xfId="0" applyFill="1" applyBorder="1" applyAlignment="1">
      <alignment horizontal="center"/>
    </xf>
    <xf numFmtId="0" fontId="3" fillId="0" borderId="10" xfId="1" applyBorder="1"/>
    <xf numFmtId="0" fontId="0" fillId="0" borderId="13" xfId="0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1" xfId="0" applyFill="1" applyBorder="1" applyAlignment="1">
      <alignment horizontal="center"/>
    </xf>
    <xf numFmtId="0" fontId="0" fillId="4" borderId="0" xfId="0" applyFill="1" applyAlignment="1">
      <alignment shrinkToFit="1"/>
    </xf>
    <xf numFmtId="0" fontId="0" fillId="0" borderId="0" xfId="0" applyAlignment="1">
      <alignment shrinkToFit="1"/>
    </xf>
    <xf numFmtId="0" fontId="0" fillId="0" borderId="1" xfId="0" applyBorder="1" applyAlignment="1">
      <alignment shrinkToFit="1"/>
    </xf>
    <xf numFmtId="0" fontId="0" fillId="0" borderId="9" xfId="0" applyBorder="1" applyAlignment="1">
      <alignment shrinkToFit="1"/>
    </xf>
    <xf numFmtId="0" fontId="0" fillId="0" borderId="10" xfId="0" applyBorder="1" applyAlignment="1">
      <alignment shrinkToFit="1"/>
    </xf>
    <xf numFmtId="0" fontId="0" fillId="0" borderId="23" xfId="0" applyBorder="1" applyAlignment="1">
      <alignment shrinkToFit="1"/>
    </xf>
    <xf numFmtId="0" fontId="4" fillId="0" borderId="0" xfId="2">
      <alignment vertical="center"/>
    </xf>
    <xf numFmtId="0" fontId="4" fillId="0" borderId="1" xfId="2" applyBorder="1">
      <alignment vertical="center"/>
    </xf>
    <xf numFmtId="0" fontId="0" fillId="0" borderId="15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26" xfId="0" applyBorder="1" applyAlignment="1">
      <alignment horizontal="center" vertical="center" shrinkToFit="1"/>
    </xf>
    <xf numFmtId="0" fontId="0" fillId="5" borderId="1" xfId="0" applyFill="1" applyBorder="1" applyAlignment="1">
      <alignment horizontal="center" vertical="center" shrinkToFit="1"/>
    </xf>
    <xf numFmtId="0" fontId="0" fillId="8" borderId="1" xfId="0" applyFill="1" applyBorder="1" applyAlignment="1">
      <alignment horizontal="center" vertical="center" shrinkToFit="1"/>
    </xf>
    <xf numFmtId="0" fontId="0" fillId="7" borderId="1" xfId="0" applyFill="1" applyBorder="1" applyAlignment="1">
      <alignment horizontal="center" vertical="center" shrinkToFit="1"/>
    </xf>
    <xf numFmtId="0" fontId="0" fillId="6" borderId="1" xfId="0" applyFill="1" applyBorder="1" applyAlignment="1">
      <alignment horizontal="center" vertical="center" shrinkToFit="1"/>
    </xf>
    <xf numFmtId="0" fontId="0" fillId="0" borderId="17" xfId="0" applyBorder="1" applyAlignment="1">
      <alignment shrinkToFit="1"/>
    </xf>
    <xf numFmtId="0" fontId="0" fillId="0" borderId="28" xfId="0" applyBorder="1" applyAlignment="1">
      <alignment shrinkToFit="1"/>
    </xf>
    <xf numFmtId="0" fontId="0" fillId="0" borderId="30" xfId="0" applyBorder="1" applyAlignment="1">
      <alignment shrinkToFit="1"/>
    </xf>
    <xf numFmtId="0" fontId="0" fillId="0" borderId="18" xfId="0" applyBorder="1" applyAlignment="1">
      <alignment shrinkToFit="1"/>
    </xf>
    <xf numFmtId="0" fontId="0" fillId="0" borderId="19" xfId="0" applyBorder="1" applyAlignment="1">
      <alignment shrinkToFit="1"/>
    </xf>
    <xf numFmtId="0" fontId="0" fillId="0" borderId="20" xfId="0" applyBorder="1" applyAlignment="1">
      <alignment shrinkToFit="1"/>
    </xf>
    <xf numFmtId="0" fontId="0" fillId="0" borderId="29" xfId="0" applyBorder="1" applyAlignment="1">
      <alignment shrinkToFit="1"/>
    </xf>
    <xf numFmtId="0" fontId="0" fillId="0" borderId="31" xfId="0" applyBorder="1" applyAlignment="1">
      <alignment shrinkToFit="1"/>
    </xf>
    <xf numFmtId="0" fontId="0" fillId="0" borderId="21" xfId="0" applyBorder="1" applyAlignment="1">
      <alignment shrinkToFit="1"/>
    </xf>
    <xf numFmtId="0" fontId="0" fillId="0" borderId="25" xfId="0" applyBorder="1" applyAlignment="1">
      <alignment horizontal="center" vertical="center" shrinkToFit="1"/>
    </xf>
    <xf numFmtId="0" fontId="0" fillId="0" borderId="27" xfId="0" applyBorder="1" applyAlignment="1">
      <alignment horizontal="center" vertical="center" shrinkToFit="1"/>
    </xf>
    <xf numFmtId="0" fontId="6" fillId="0" borderId="7" xfId="0" applyFont="1" applyBorder="1" applyAlignment="1">
      <alignment vertical="center" shrinkToFit="1"/>
    </xf>
    <xf numFmtId="0" fontId="7" fillId="0" borderId="15" xfId="0" applyFont="1" applyBorder="1" applyAlignment="1">
      <alignment vertical="center" shrinkToFit="1"/>
    </xf>
    <xf numFmtId="0" fontId="8" fillId="0" borderId="15" xfId="0" applyFont="1" applyBorder="1" applyAlignment="1">
      <alignment vertical="center" shrinkToFit="1"/>
    </xf>
    <xf numFmtId="0" fontId="6" fillId="0" borderId="15" xfId="0" applyFont="1" applyBorder="1" applyAlignment="1">
      <alignment vertical="center" shrinkToFit="1"/>
    </xf>
    <xf numFmtId="0" fontId="7" fillId="0" borderId="16" xfId="0" applyFont="1" applyBorder="1" applyAlignment="1">
      <alignment vertical="center" shrinkToFit="1"/>
    </xf>
    <xf numFmtId="0" fontId="7" fillId="0" borderId="17" xfId="0" applyFont="1" applyBorder="1" applyAlignment="1">
      <alignment vertical="center" shrinkToFit="1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7" fillId="0" borderId="18" xfId="0" applyFont="1" applyBorder="1" applyAlignment="1">
      <alignment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18" xfId="0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3" fillId="4" borderId="0" xfId="1" applyFill="1"/>
    <xf numFmtId="0" fontId="3" fillId="4" borderId="0" xfId="1" applyFill="1" applyAlignment="1">
      <alignment shrinkToFit="1"/>
    </xf>
    <xf numFmtId="0" fontId="3" fillId="4" borderId="0" xfId="1" applyFill="1" applyAlignment="1"/>
    <xf numFmtId="0" fontId="6" fillId="0" borderId="7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18" xfId="0" applyFont="1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" xfId="0" applyBorder="1" applyAlignment="1">
      <alignment horizontal="center"/>
    </xf>
    <xf numFmtId="0" fontId="0" fillId="0" borderId="26" xfId="0" applyBorder="1" applyAlignment="1">
      <alignment horizontal="left"/>
    </xf>
    <xf numFmtId="0" fontId="0" fillId="0" borderId="0" xfId="0" applyAlignment="1">
      <alignment vertical="center"/>
    </xf>
    <xf numFmtId="0" fontId="0" fillId="7" borderId="1" xfId="0" applyFill="1" applyBorder="1"/>
    <xf numFmtId="0" fontId="0" fillId="0" borderId="0" xfId="0" applyAlignment="1">
      <alignment horizontal="center" shrinkToFit="1"/>
    </xf>
    <xf numFmtId="0" fontId="9" fillId="0" borderId="1" xfId="0" applyFont="1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176" fontId="0" fillId="0" borderId="0" xfId="0" applyNumberFormat="1" applyAlignment="1">
      <alignment shrinkToFit="1"/>
    </xf>
    <xf numFmtId="176" fontId="0" fillId="0" borderId="9" xfId="0" applyNumberFormat="1" applyBorder="1" applyAlignment="1">
      <alignment shrinkToFit="1"/>
    </xf>
    <xf numFmtId="176" fontId="0" fillId="0" borderId="23" xfId="0" applyNumberFormat="1" applyBorder="1" applyAlignment="1">
      <alignment shrinkToFit="1"/>
    </xf>
    <xf numFmtId="176" fontId="0" fillId="0" borderId="10" xfId="0" applyNumberFormat="1" applyBorder="1" applyAlignment="1">
      <alignment shrinkToFit="1"/>
    </xf>
    <xf numFmtId="0" fontId="0" fillId="3" borderId="1" xfId="0" applyFill="1" applyBorder="1"/>
    <xf numFmtId="0" fontId="10" fillId="0" borderId="0" xfId="0" applyFont="1"/>
    <xf numFmtId="0" fontId="0" fillId="0" borderId="0" xfId="0" applyAlignment="1">
      <alignment vertical="top"/>
    </xf>
    <xf numFmtId="0" fontId="0" fillId="11" borderId="1" xfId="0" applyFill="1" applyBorder="1" applyAlignment="1">
      <alignment vertical="top"/>
    </xf>
    <xf numFmtId="0" fontId="0" fillId="11" borderId="1" xfId="0" applyFill="1" applyBorder="1" applyAlignment="1">
      <alignment vertical="top" wrapText="1"/>
    </xf>
    <xf numFmtId="177" fontId="0" fillId="4" borderId="0" xfId="0" applyNumberFormat="1" applyFill="1"/>
    <xf numFmtId="177" fontId="0" fillId="11" borderId="1" xfId="0" applyNumberFormat="1" applyFill="1" applyBorder="1" applyAlignment="1">
      <alignment vertical="top"/>
    </xf>
    <xf numFmtId="177" fontId="0" fillId="0" borderId="1" xfId="0" applyNumberFormat="1" applyBorder="1"/>
    <xf numFmtId="177" fontId="0" fillId="0" borderId="0" xfId="0" applyNumberFormat="1"/>
    <xf numFmtId="0" fontId="3" fillId="0" borderId="1" xfId="1" applyBorder="1"/>
    <xf numFmtId="0" fontId="0" fillId="0" borderId="1" xfId="0" applyBorder="1" applyAlignment="1">
      <alignment wrapText="1"/>
    </xf>
    <xf numFmtId="0" fontId="0" fillId="4" borderId="0" xfId="0" applyFill="1" applyAlignment="1">
      <alignment vertical="center" shrinkToFit="1"/>
    </xf>
    <xf numFmtId="0" fontId="0" fillId="9" borderId="1" xfId="0" applyFill="1" applyBorder="1" applyAlignment="1">
      <alignment vertical="center"/>
    </xf>
    <xf numFmtId="0" fontId="0" fillId="2" borderId="1" xfId="0" applyFill="1" applyBorder="1"/>
    <xf numFmtId="0" fontId="4" fillId="2" borderId="1" xfId="2" applyFill="1" applyBorder="1">
      <alignment vertical="center"/>
    </xf>
    <xf numFmtId="0" fontId="1" fillId="0" borderId="1" xfId="2" applyFont="1" applyBorder="1">
      <alignment vertical="center"/>
    </xf>
    <xf numFmtId="0" fontId="0" fillId="0" borderId="42" xfId="0" applyBorder="1"/>
    <xf numFmtId="0" fontId="0" fillId="9" borderId="43" xfId="0" applyFill="1" applyBorder="1" applyAlignment="1">
      <alignment vertical="center"/>
    </xf>
    <xf numFmtId="0" fontId="0" fillId="0" borderId="41" xfId="0" applyBorder="1" applyAlignment="1">
      <alignment shrinkToFit="1"/>
    </xf>
    <xf numFmtId="0" fontId="0" fillId="0" borderId="51" xfId="0" applyBorder="1" applyAlignment="1">
      <alignment shrinkToFit="1"/>
    </xf>
    <xf numFmtId="0" fontId="0" fillId="6" borderId="0" xfId="0" applyFill="1" applyAlignment="1">
      <alignment horizontal="center" shrinkToFit="1"/>
    </xf>
    <xf numFmtId="0" fontId="0" fillId="6" borderId="0" xfId="0" applyFill="1" applyAlignment="1">
      <alignment horizontal="left"/>
    </xf>
    <xf numFmtId="0" fontId="0" fillId="6" borderId="0" xfId="0" applyFill="1" applyAlignment="1">
      <alignment horizontal="center"/>
    </xf>
    <xf numFmtId="0" fontId="0" fillId="0" borderId="57" xfId="0" applyBorder="1"/>
    <xf numFmtId="0" fontId="0" fillId="0" borderId="58" xfId="0" applyBorder="1"/>
    <xf numFmtId="0" fontId="0" fillId="0" borderId="11" xfId="0" applyBorder="1"/>
    <xf numFmtId="0" fontId="0" fillId="0" borderId="9" xfId="0" applyBorder="1"/>
    <xf numFmtId="0" fontId="0" fillId="0" borderId="48" xfId="0" applyBorder="1"/>
    <xf numFmtId="0" fontId="0" fillId="0" borderId="49" xfId="0" applyBorder="1"/>
    <xf numFmtId="0" fontId="0" fillId="0" borderId="26" xfId="0" applyBorder="1" applyAlignment="1">
      <alignment shrinkToFit="1"/>
    </xf>
    <xf numFmtId="0" fontId="0" fillId="0" borderId="39" xfId="0" applyBorder="1" applyAlignment="1">
      <alignment shrinkToFit="1"/>
    </xf>
    <xf numFmtId="0" fontId="0" fillId="6" borderId="51" xfId="0" applyFill="1" applyBorder="1" applyAlignment="1">
      <alignment horizontal="center" shrinkToFit="1"/>
    </xf>
    <xf numFmtId="0" fontId="0" fillId="6" borderId="43" xfId="0" applyFill="1" applyBorder="1" applyAlignment="1">
      <alignment horizontal="center" shrinkToFit="1"/>
    </xf>
    <xf numFmtId="0" fontId="0" fillId="4" borderId="0" xfId="0" applyFill="1" applyAlignment="1">
      <alignment horizontal="left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2" xfId="0" applyFill="1" applyBorder="1" applyAlignment="1">
      <alignment horizontal="center" shrinkToFit="1"/>
    </xf>
    <xf numFmtId="0" fontId="0" fillId="0" borderId="43" xfId="0" applyBorder="1" applyAlignment="1">
      <alignment horizontal="center" shrinkToFit="1"/>
    </xf>
    <xf numFmtId="0" fontId="0" fillId="0" borderId="46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0" fillId="0" borderId="55" xfId="0" quotePrefix="1" applyBorder="1" applyAlignment="1">
      <alignment horizontal="center" shrinkToFit="1"/>
    </xf>
    <xf numFmtId="0" fontId="0" fillId="0" borderId="56" xfId="0" quotePrefix="1" applyBorder="1" applyAlignment="1">
      <alignment horizontal="center" shrinkToFit="1"/>
    </xf>
    <xf numFmtId="0" fontId="0" fillId="0" borderId="53" xfId="0" quotePrefix="1" applyBorder="1" applyAlignment="1">
      <alignment horizontal="center" shrinkToFit="1"/>
    </xf>
    <xf numFmtId="0" fontId="0" fillId="0" borderId="54" xfId="0" quotePrefix="1" applyBorder="1" applyAlignment="1">
      <alignment horizontal="center" shrinkToFit="1"/>
    </xf>
    <xf numFmtId="0" fontId="0" fillId="0" borderId="53" xfId="0" applyBorder="1" applyAlignment="1">
      <alignment horizontal="center" shrinkToFit="1"/>
    </xf>
    <xf numFmtId="0" fontId="0" fillId="0" borderId="54" xfId="0" applyBorder="1" applyAlignment="1">
      <alignment horizontal="center" shrinkToFit="1"/>
    </xf>
    <xf numFmtId="0" fontId="0" fillId="2" borderId="50" xfId="0" applyFill="1" applyBorder="1" applyAlignment="1">
      <alignment horizontal="center" shrinkToFit="1"/>
    </xf>
    <xf numFmtId="0" fontId="0" fillId="2" borderId="46" xfId="0" applyFill="1" applyBorder="1" applyAlignment="1">
      <alignment horizontal="center" shrinkToFit="1"/>
    </xf>
    <xf numFmtId="0" fontId="0" fillId="2" borderId="47" xfId="0" applyFill="1" applyBorder="1" applyAlignment="1">
      <alignment horizontal="center" shrinkToFit="1"/>
    </xf>
    <xf numFmtId="0" fontId="0" fillId="0" borderId="50" xfId="0" applyBorder="1" applyAlignment="1">
      <alignment horizontal="center" shrinkToFit="1"/>
    </xf>
    <xf numFmtId="0" fontId="0" fillId="0" borderId="52" xfId="0" applyBorder="1" applyAlignment="1">
      <alignment horizontal="center" shrinkToFit="1"/>
    </xf>
    <xf numFmtId="0" fontId="0" fillId="0" borderId="5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2" borderId="24" xfId="0" applyFill="1" applyBorder="1" applyAlignment="1">
      <alignment horizontal="center" shrinkToFit="1"/>
    </xf>
    <xf numFmtId="0" fontId="0" fillId="6" borderId="50" xfId="0" applyFill="1" applyBorder="1" applyAlignment="1">
      <alignment horizontal="center" shrinkToFit="1"/>
    </xf>
    <xf numFmtId="0" fontId="0" fillId="6" borderId="52" xfId="0" applyFill="1" applyBorder="1" applyAlignment="1">
      <alignment horizontal="center" shrinkToFit="1"/>
    </xf>
    <xf numFmtId="0" fontId="0" fillId="0" borderId="60" xfId="0" applyBorder="1" applyAlignment="1">
      <alignment horizontal="center" vertical="top" shrinkToFit="1"/>
    </xf>
    <xf numFmtId="0" fontId="0" fillId="0" borderId="61" xfId="0" applyBorder="1" applyAlignment="1">
      <alignment horizontal="center" vertical="top" shrinkToFit="1"/>
    </xf>
    <xf numFmtId="0" fontId="0" fillId="0" borderId="53" xfId="0" applyBorder="1" applyAlignment="1">
      <alignment horizontal="center" vertical="top" shrinkToFit="1"/>
    </xf>
    <xf numFmtId="0" fontId="0" fillId="6" borderId="43" xfId="0" applyFill="1" applyBorder="1" applyAlignment="1">
      <alignment horizontal="center" shrinkToFit="1"/>
    </xf>
    <xf numFmtId="0" fontId="0" fillId="6" borderId="47" xfId="0" applyFill="1" applyBorder="1" applyAlignment="1">
      <alignment horizontal="center" shrinkToFit="1"/>
    </xf>
    <xf numFmtId="0" fontId="0" fillId="2" borderId="5" xfId="0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15" xfId="0" applyFill="1" applyBorder="1" applyAlignment="1">
      <alignment horizontal="left"/>
    </xf>
    <xf numFmtId="0" fontId="0" fillId="2" borderId="59" xfId="0" applyFill="1" applyBorder="1" applyAlignment="1">
      <alignment horizontal="left"/>
    </xf>
    <xf numFmtId="0" fontId="3" fillId="2" borderId="45" xfId="1" applyFill="1" applyBorder="1" applyAlignment="1">
      <alignment horizontal="left"/>
    </xf>
    <xf numFmtId="0" fontId="3" fillId="2" borderId="46" xfId="1" applyFill="1" applyBorder="1" applyAlignment="1">
      <alignment horizontal="left"/>
    </xf>
    <xf numFmtId="0" fontId="3" fillId="2" borderId="44" xfId="1" applyFill="1" applyBorder="1" applyAlignment="1">
      <alignment horizontal="left"/>
    </xf>
    <xf numFmtId="0" fontId="0" fillId="0" borderId="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3" fillId="0" borderId="7" xfId="1" applyBorder="1" applyAlignment="1">
      <alignment horizontal="center" vertical="center"/>
    </xf>
    <xf numFmtId="0" fontId="3" fillId="0" borderId="15" xfId="1" applyBorder="1" applyAlignment="1">
      <alignment horizontal="center" vertical="center"/>
    </xf>
    <xf numFmtId="0" fontId="3" fillId="0" borderId="16" xfId="1" applyBorder="1" applyAlignment="1">
      <alignment horizontal="center" vertical="center"/>
    </xf>
    <xf numFmtId="0" fontId="3" fillId="0" borderId="17" xfId="1" applyBorder="1" applyAlignment="1">
      <alignment horizontal="center" vertical="center"/>
    </xf>
    <xf numFmtId="0" fontId="3" fillId="0" borderId="0" xfId="1" applyBorder="1" applyAlignment="1">
      <alignment horizontal="center" vertical="center"/>
    </xf>
    <xf numFmtId="0" fontId="3" fillId="0" borderId="18" xfId="1" applyBorder="1" applyAlignment="1">
      <alignment horizontal="center" vertical="center"/>
    </xf>
    <xf numFmtId="0" fontId="3" fillId="0" borderId="19" xfId="1" applyBorder="1" applyAlignment="1">
      <alignment horizontal="center" vertical="center"/>
    </xf>
    <xf numFmtId="0" fontId="3" fillId="0" borderId="20" xfId="1" applyBorder="1" applyAlignment="1">
      <alignment horizontal="center" vertical="center"/>
    </xf>
    <xf numFmtId="0" fontId="3" fillId="0" borderId="21" xfId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1" applyAlignment="1">
      <alignment horizontal="center"/>
    </xf>
    <xf numFmtId="0" fontId="0" fillId="0" borderId="1" xfId="0" applyBorder="1" applyAlignment="1">
      <alignment horizontal="left" shrinkToFit="1"/>
    </xf>
    <xf numFmtId="0" fontId="11" fillId="0" borderId="0" xfId="0" applyFont="1" applyAlignment="1">
      <alignment horizontal="center"/>
    </xf>
    <xf numFmtId="0" fontId="0" fillId="0" borderId="0" xfId="0" applyAlignment="1">
      <alignment shrinkToFit="1"/>
    </xf>
    <xf numFmtId="0" fontId="0" fillId="10" borderId="1" xfId="0" applyFill="1" applyBorder="1" applyAlignment="1">
      <alignment shrinkToFit="1"/>
    </xf>
    <xf numFmtId="0" fontId="0" fillId="0" borderId="38" xfId="0" applyBorder="1" applyAlignment="1">
      <alignment horizontal="center" vertical="top" shrinkToFit="1"/>
    </xf>
    <xf numFmtId="0" fontId="0" fillId="0" borderId="39" xfId="0" applyBorder="1" applyAlignment="1">
      <alignment horizontal="center" vertical="top" shrinkToFit="1"/>
    </xf>
    <xf numFmtId="0" fontId="0" fillId="0" borderId="40" xfId="0" applyBorder="1" applyAlignment="1">
      <alignment horizontal="center" vertical="top" shrinkToFit="1"/>
    </xf>
    <xf numFmtId="0" fontId="0" fillId="0" borderId="30" xfId="0" applyBorder="1" applyAlignment="1">
      <alignment horizontal="center" vertical="top" shrinkToFit="1"/>
    </xf>
    <xf numFmtId="0" fontId="0" fillId="0" borderId="0" xfId="0" applyAlignment="1">
      <alignment horizontal="center" vertical="top" shrinkToFit="1"/>
    </xf>
    <xf numFmtId="0" fontId="0" fillId="0" borderId="28" xfId="0" applyBorder="1" applyAlignment="1">
      <alignment horizontal="center" vertical="top" shrinkToFit="1"/>
    </xf>
    <xf numFmtId="0" fontId="0" fillId="0" borderId="11" xfId="0" applyBorder="1" applyAlignment="1">
      <alignment horizontal="center" vertical="top" shrinkToFit="1"/>
    </xf>
    <xf numFmtId="0" fontId="0" fillId="0" borderId="26" xfId="0" applyBorder="1" applyAlignment="1">
      <alignment horizontal="center" vertical="top" shrinkToFit="1"/>
    </xf>
    <xf numFmtId="0" fontId="0" fillId="0" borderId="12" xfId="0" applyBorder="1" applyAlignment="1">
      <alignment horizontal="center" vertical="top" shrinkToFit="1"/>
    </xf>
    <xf numFmtId="0" fontId="8" fillId="0" borderId="15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8" fillId="0" borderId="26" xfId="0" applyFont="1" applyBorder="1" applyAlignment="1">
      <alignment horizontal="center" vertical="center" shrinkToFit="1"/>
    </xf>
    <xf numFmtId="0" fontId="3" fillId="0" borderId="0" xfId="1" applyAlignment="1">
      <alignment horizontal="center" shrinkToFit="1"/>
    </xf>
    <xf numFmtId="0" fontId="6" fillId="0" borderId="7" xfId="0" applyFont="1" applyBorder="1" applyAlignment="1">
      <alignment horizontal="left" vertical="center" shrinkToFit="1"/>
    </xf>
    <xf numFmtId="0" fontId="6" fillId="0" borderId="15" xfId="0" applyFont="1" applyBorder="1" applyAlignment="1">
      <alignment horizontal="left" vertical="center" shrinkToFit="1"/>
    </xf>
    <xf numFmtId="0" fontId="6" fillId="0" borderId="17" xfId="0" applyFont="1" applyBorder="1" applyAlignment="1">
      <alignment horizontal="left" vertical="center" shrinkToFit="1"/>
    </xf>
    <xf numFmtId="0" fontId="6" fillId="0" borderId="0" xfId="0" applyFont="1" applyAlignment="1">
      <alignment horizontal="left" vertical="center" shrinkToFit="1"/>
    </xf>
    <xf numFmtId="0" fontId="6" fillId="0" borderId="15" xfId="0" applyFont="1" applyBorder="1" applyAlignment="1">
      <alignment horizontal="right" vertical="center" shrinkToFit="1"/>
    </xf>
    <xf numFmtId="0" fontId="6" fillId="0" borderId="16" xfId="0" applyFont="1" applyBorder="1" applyAlignment="1">
      <alignment horizontal="right" vertical="center" shrinkToFit="1"/>
    </xf>
    <xf numFmtId="0" fontId="6" fillId="0" borderId="0" xfId="0" applyFont="1" applyAlignment="1">
      <alignment horizontal="right" vertical="center" shrinkToFit="1"/>
    </xf>
    <xf numFmtId="0" fontId="6" fillId="0" borderId="18" xfId="0" applyFont="1" applyBorder="1" applyAlignment="1">
      <alignment horizontal="right" vertical="center" shrinkToFi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 wrapText="1"/>
    </xf>
    <xf numFmtId="0" fontId="0" fillId="3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22" xfId="0" applyFill="1" applyBorder="1" applyAlignment="1">
      <alignment horizontal="left" wrapText="1"/>
    </xf>
    <xf numFmtId="0" fontId="0" fillId="3" borderId="13" xfId="0" applyFill="1" applyBorder="1" applyAlignment="1">
      <alignment horizontal="left" wrapText="1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</cellXfs>
  <cellStyles count="3">
    <cellStyle name="ハイパーリンク" xfId="1" builtinId="8"/>
    <cellStyle name="標準" xfId="0" builtinId="0"/>
    <cellStyle name="標準 2" xfId="2" xr:uid="{00000000-0005-0000-0000-000002000000}"/>
  </cellStyles>
  <dxfs count="4">
    <dxf>
      <fill>
        <patternFill>
          <bgColor theme="1" tint="0.499984740745262"/>
        </patternFill>
      </fill>
    </dxf>
    <dxf>
      <font>
        <strike val="0"/>
        <color auto="1"/>
      </font>
      <numFmt numFmtId="0" formatCode="General"/>
      <fill>
        <patternFill patternType="solid"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222250</xdr:colOff>
      <xdr:row>11</xdr:row>
      <xdr:rowOff>0</xdr:rowOff>
    </xdr:from>
    <xdr:to>
      <xdr:col>13</xdr:col>
      <xdr:colOff>228600</xdr:colOff>
      <xdr:row>13</xdr:row>
      <xdr:rowOff>241300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 flipH="1">
          <a:off x="3359150" y="1219200"/>
          <a:ext cx="6350" cy="723900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234950</xdr:colOff>
      <xdr:row>9</xdr:row>
      <xdr:rowOff>25400</xdr:rowOff>
    </xdr:from>
    <xdr:to>
      <xdr:col>22</xdr:col>
      <xdr:colOff>0</xdr:colOff>
      <xdr:row>9</xdr:row>
      <xdr:rowOff>25400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4095750" y="755650"/>
          <a:ext cx="1212850" cy="0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6350</xdr:colOff>
      <xdr:row>9</xdr:row>
      <xdr:rowOff>215900</xdr:rowOff>
    </xdr:from>
    <xdr:to>
      <xdr:col>21</xdr:col>
      <xdr:colOff>203200</xdr:colOff>
      <xdr:row>9</xdr:row>
      <xdr:rowOff>215900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/>
      </xdr:nvCxnSpPr>
      <xdr:spPr>
        <a:xfrm flipH="1">
          <a:off x="4108450" y="946150"/>
          <a:ext cx="1162050" cy="0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215900</xdr:colOff>
      <xdr:row>17</xdr:row>
      <xdr:rowOff>6350</xdr:rowOff>
    </xdr:from>
    <xdr:to>
      <xdr:col>13</xdr:col>
      <xdr:colOff>222250</xdr:colOff>
      <xdr:row>20</xdr:row>
      <xdr:rowOff>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 flipH="1">
          <a:off x="3352800" y="2686050"/>
          <a:ext cx="6350" cy="723900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222250</xdr:colOff>
      <xdr:row>23</xdr:row>
      <xdr:rowOff>6350</xdr:rowOff>
    </xdr:from>
    <xdr:to>
      <xdr:col>13</xdr:col>
      <xdr:colOff>228600</xdr:colOff>
      <xdr:row>26</xdr:row>
      <xdr:rowOff>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 flipH="1">
          <a:off x="3359150" y="4146550"/>
          <a:ext cx="6350" cy="723900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114300</xdr:colOff>
      <xdr:row>28</xdr:row>
      <xdr:rowOff>228600</xdr:rowOff>
    </xdr:from>
    <xdr:to>
      <xdr:col>14</xdr:col>
      <xdr:colOff>114300</xdr:colOff>
      <xdr:row>30</xdr:row>
      <xdr:rowOff>225425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/>
      </xdr:nvCxnSpPr>
      <xdr:spPr>
        <a:xfrm>
          <a:off x="3609975" y="6981825"/>
          <a:ext cx="0" cy="48260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234950</xdr:colOff>
      <xdr:row>9</xdr:row>
      <xdr:rowOff>222250</xdr:rowOff>
    </xdr:from>
    <xdr:to>
      <xdr:col>11</xdr:col>
      <xdr:colOff>234950</xdr:colOff>
      <xdr:row>9</xdr:row>
      <xdr:rowOff>228600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 flipV="1">
          <a:off x="2165350" y="952500"/>
          <a:ext cx="723900" cy="6350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14</xdr:row>
      <xdr:rowOff>228601</xdr:rowOff>
    </xdr:from>
    <xdr:to>
      <xdr:col>30</xdr:col>
      <xdr:colOff>0</xdr:colOff>
      <xdr:row>43</xdr:row>
      <xdr:rowOff>123825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/>
      </xdr:nvCxnSpPr>
      <xdr:spPr>
        <a:xfrm flipV="1">
          <a:off x="7305675" y="3609976"/>
          <a:ext cx="0" cy="6867524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9</xdr:row>
      <xdr:rowOff>228603</xdr:rowOff>
    </xdr:from>
    <xdr:to>
      <xdr:col>9</xdr:col>
      <xdr:colOff>0</xdr:colOff>
      <xdr:row>49</xdr:row>
      <xdr:rowOff>9525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00000000-0008-0000-0400-000014000000}"/>
            </a:ext>
            <a:ext uri="{147F2762-F138-4A5C-976F-8EAC2B608ADB}">
              <a16:predDERef xmlns:a16="http://schemas.microsoft.com/office/drawing/2014/main" pred="{00000000-0008-0000-0400-00000E000000}"/>
            </a:ext>
          </a:extLst>
        </xdr:cNvPr>
        <xdr:cNvCxnSpPr/>
      </xdr:nvCxnSpPr>
      <xdr:spPr>
        <a:xfrm flipV="1">
          <a:off x="2305050" y="2381253"/>
          <a:ext cx="0" cy="9410697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</xdr:row>
      <xdr:rowOff>9525</xdr:rowOff>
    </xdr:from>
    <xdr:to>
      <xdr:col>14</xdr:col>
      <xdr:colOff>6350</xdr:colOff>
      <xdr:row>8</xdr:row>
      <xdr:rowOff>12700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/>
      </xdr:nvCxnSpPr>
      <xdr:spPr>
        <a:xfrm flipH="1">
          <a:off x="3495675" y="1219200"/>
          <a:ext cx="6350" cy="727075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234950</xdr:colOff>
      <xdr:row>13</xdr:row>
      <xdr:rowOff>9525</xdr:rowOff>
    </xdr:from>
    <xdr:to>
      <xdr:col>23</xdr:col>
      <xdr:colOff>234950</xdr:colOff>
      <xdr:row>13</xdr:row>
      <xdr:rowOff>231775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/>
      </xdr:nvCxnSpPr>
      <xdr:spPr>
        <a:xfrm>
          <a:off x="5873750" y="3143250"/>
          <a:ext cx="0" cy="222250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32</xdr:row>
      <xdr:rowOff>104776</xdr:rowOff>
    </xdr:from>
    <xdr:to>
      <xdr:col>20</xdr:col>
      <xdr:colOff>1</xdr:colOff>
      <xdr:row>34</xdr:row>
      <xdr:rowOff>238125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 flipH="1">
          <a:off x="4924425" y="7820026"/>
          <a:ext cx="1" cy="609599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31</xdr:row>
      <xdr:rowOff>0</xdr:rowOff>
    </xdr:from>
    <xdr:to>
      <xdr:col>16</xdr:col>
      <xdr:colOff>228600</xdr:colOff>
      <xdr:row>33</xdr:row>
      <xdr:rowOff>228600</xdr:rowOff>
    </xdr:to>
    <xdr:sp macro="" textlink="">
      <xdr:nvSpPr>
        <xdr:cNvPr id="2" name="ひし形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19425" y="7477125"/>
          <a:ext cx="1181100" cy="704850"/>
        </a:xfrm>
        <a:prstGeom prst="diamond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9525</xdr:colOff>
      <xdr:row>32</xdr:row>
      <xdr:rowOff>104775</xdr:rowOff>
    </xdr:from>
    <xdr:to>
      <xdr:col>20</xdr:col>
      <xdr:colOff>3175</xdr:colOff>
      <xdr:row>32</xdr:row>
      <xdr:rowOff>104775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/>
      </xdr:nvCxnSpPr>
      <xdr:spPr>
        <a:xfrm>
          <a:off x="4219575" y="7820025"/>
          <a:ext cx="708025" cy="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</xdr:row>
      <xdr:rowOff>228600</xdr:rowOff>
    </xdr:from>
    <xdr:to>
      <xdr:col>24</xdr:col>
      <xdr:colOff>9525</xdr:colOff>
      <xdr:row>12</xdr:row>
      <xdr:rowOff>228600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/>
      </xdr:nvCxnSpPr>
      <xdr:spPr>
        <a:xfrm>
          <a:off x="3733800" y="3124200"/>
          <a:ext cx="2152650" cy="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11</xdr:row>
      <xdr:rowOff>9525</xdr:rowOff>
    </xdr:from>
    <xdr:to>
      <xdr:col>15</xdr:col>
      <xdr:colOff>0</xdr:colOff>
      <xdr:row>13</xdr:row>
      <xdr:rowOff>15875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/>
      </xdr:nvCxnSpPr>
      <xdr:spPr>
        <a:xfrm>
          <a:off x="3733800" y="2667000"/>
          <a:ext cx="0" cy="48260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17</xdr:row>
      <xdr:rowOff>0</xdr:rowOff>
    </xdr:from>
    <xdr:to>
      <xdr:col>24</xdr:col>
      <xdr:colOff>0</xdr:colOff>
      <xdr:row>19</xdr:row>
      <xdr:rowOff>6350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/>
      </xdr:nvCxnSpPr>
      <xdr:spPr>
        <a:xfrm>
          <a:off x="5876925" y="4105275"/>
          <a:ext cx="0" cy="48260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19</xdr:row>
      <xdr:rowOff>0</xdr:rowOff>
    </xdr:from>
    <xdr:to>
      <xdr:col>23</xdr:col>
      <xdr:colOff>228600</xdr:colOff>
      <xdr:row>19</xdr:row>
      <xdr:rowOff>0</xdr:rowOff>
    </xdr:to>
    <xdr:cxnSp macro="">
      <xdr:nvCxnSpPr>
        <xdr:cNvPr id="32" name="直線コネクタ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CxnSpPr/>
      </xdr:nvCxnSpPr>
      <xdr:spPr>
        <a:xfrm>
          <a:off x="4448175" y="4581525"/>
          <a:ext cx="1419225" cy="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14</xdr:row>
      <xdr:rowOff>228600</xdr:rowOff>
    </xdr:from>
    <xdr:to>
      <xdr:col>18</xdr:col>
      <xdr:colOff>0</xdr:colOff>
      <xdr:row>18</xdr:row>
      <xdr:rowOff>225425</xdr:rowOff>
    </xdr:to>
    <xdr:cxnSp macro="">
      <xdr:nvCxnSpPr>
        <xdr:cNvPr id="34" name="直線コネクタ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/>
      </xdr:nvCxnSpPr>
      <xdr:spPr>
        <a:xfrm>
          <a:off x="4448175" y="3609975"/>
          <a:ext cx="0" cy="95885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222250</xdr:colOff>
      <xdr:row>14</xdr:row>
      <xdr:rowOff>231775</xdr:rowOff>
    </xdr:from>
    <xdr:to>
      <xdr:col>18</xdr:col>
      <xdr:colOff>0</xdr:colOff>
      <xdr:row>14</xdr:row>
      <xdr:rowOff>231775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/>
      </xdr:nvCxnSpPr>
      <xdr:spPr>
        <a:xfrm flipH="1">
          <a:off x="4194175" y="3613150"/>
          <a:ext cx="254000" cy="0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133350</xdr:colOff>
      <xdr:row>35</xdr:row>
      <xdr:rowOff>9525</xdr:rowOff>
    </xdr:from>
    <xdr:to>
      <xdr:col>22</xdr:col>
      <xdr:colOff>123825</xdr:colOff>
      <xdr:row>38</xdr:row>
      <xdr:rowOff>0</xdr:rowOff>
    </xdr:to>
    <xdr:sp macro="" textlink="">
      <xdr:nvSpPr>
        <xdr:cNvPr id="38" name="ひし形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4343400" y="8458200"/>
          <a:ext cx="1181100" cy="704850"/>
        </a:xfrm>
        <a:prstGeom prst="diamond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142875</xdr:colOff>
      <xdr:row>36</xdr:row>
      <xdr:rowOff>120650</xdr:rowOff>
    </xdr:from>
    <xdr:to>
      <xdr:col>17</xdr:col>
      <xdr:colOff>136525</xdr:colOff>
      <xdr:row>36</xdr:row>
      <xdr:rowOff>120650</xdr:rowOff>
    </xdr:to>
    <xdr:cxnSp macro="">
      <xdr:nvCxnSpPr>
        <xdr:cNvPr id="39" name="直線コネクタ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/>
      </xdr:nvCxnSpPr>
      <xdr:spPr>
        <a:xfrm>
          <a:off x="3638550" y="8788400"/>
          <a:ext cx="708025" cy="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133350</xdr:colOff>
      <xdr:row>36</xdr:row>
      <xdr:rowOff>123825</xdr:rowOff>
    </xdr:from>
    <xdr:to>
      <xdr:col>14</xdr:col>
      <xdr:colOff>133351</xdr:colOff>
      <xdr:row>37</xdr:row>
      <xdr:rowOff>219075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/>
      </xdr:nvCxnSpPr>
      <xdr:spPr>
        <a:xfrm>
          <a:off x="3629025" y="8791575"/>
          <a:ext cx="1" cy="333375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142875</xdr:colOff>
      <xdr:row>36</xdr:row>
      <xdr:rowOff>120650</xdr:rowOff>
    </xdr:from>
    <xdr:to>
      <xdr:col>25</xdr:col>
      <xdr:colOff>136525</xdr:colOff>
      <xdr:row>36</xdr:row>
      <xdr:rowOff>120650</xdr:rowOff>
    </xdr:to>
    <xdr:cxnSp macro="">
      <xdr:nvCxnSpPr>
        <xdr:cNvPr id="42" name="直線コネクタ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CxnSpPr/>
      </xdr:nvCxnSpPr>
      <xdr:spPr>
        <a:xfrm>
          <a:off x="5543550" y="8788400"/>
          <a:ext cx="708025" cy="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133350</xdr:colOff>
      <xdr:row>36</xdr:row>
      <xdr:rowOff>123825</xdr:rowOff>
    </xdr:from>
    <xdr:to>
      <xdr:col>25</xdr:col>
      <xdr:colOff>133351</xdr:colOff>
      <xdr:row>37</xdr:row>
      <xdr:rowOff>219075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/>
      </xdr:nvCxnSpPr>
      <xdr:spPr>
        <a:xfrm>
          <a:off x="6248400" y="8791575"/>
          <a:ext cx="1" cy="333375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123825</xdr:colOff>
      <xdr:row>40</xdr:row>
      <xdr:rowOff>238125</xdr:rowOff>
    </xdr:from>
    <xdr:to>
      <xdr:col>14</xdr:col>
      <xdr:colOff>123825</xdr:colOff>
      <xdr:row>42</xdr:row>
      <xdr:rowOff>0</xdr:rowOff>
    </xdr:to>
    <xdr:cxnSp macro="">
      <xdr:nvCxnSpPr>
        <xdr:cNvPr id="44" name="直線コネクタ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CxnSpPr/>
      </xdr:nvCxnSpPr>
      <xdr:spPr>
        <a:xfrm>
          <a:off x="3619500" y="9867900"/>
          <a:ext cx="0" cy="24765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219075</xdr:colOff>
      <xdr:row>32</xdr:row>
      <xdr:rowOff>95494</xdr:rowOff>
    </xdr:from>
    <xdr:to>
      <xdr:col>12</xdr:col>
      <xdr:colOff>0</xdr:colOff>
      <xdr:row>32</xdr:row>
      <xdr:rowOff>114300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CxnSpPr>
          <a:stCxn id="2" idx="1"/>
        </xdr:cNvCxnSpPr>
      </xdr:nvCxnSpPr>
      <xdr:spPr>
        <a:xfrm flipH="1" flipV="1">
          <a:off x="2286000" y="7810744"/>
          <a:ext cx="733425" cy="18806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133350</xdr:colOff>
      <xdr:row>41</xdr:row>
      <xdr:rowOff>9525</xdr:rowOff>
    </xdr:from>
    <xdr:to>
      <xdr:col>25</xdr:col>
      <xdr:colOff>133350</xdr:colOff>
      <xdr:row>42</xdr:row>
      <xdr:rowOff>19050</xdr:rowOff>
    </xdr:to>
    <xdr:cxnSp macro="">
      <xdr:nvCxnSpPr>
        <xdr:cNvPr id="52" name="直線コネクタ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CxnSpPr/>
      </xdr:nvCxnSpPr>
      <xdr:spPr>
        <a:xfrm>
          <a:off x="6248400" y="9886950"/>
          <a:ext cx="0" cy="24765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42</xdr:row>
      <xdr:rowOff>28575</xdr:rowOff>
    </xdr:from>
    <xdr:to>
      <xdr:col>28</xdr:col>
      <xdr:colOff>9525</xdr:colOff>
      <xdr:row>45</xdr:row>
      <xdr:rowOff>28575</xdr:rowOff>
    </xdr:to>
    <xdr:sp macro="" textlink="">
      <xdr:nvSpPr>
        <xdr:cNvPr id="54" name="ひし形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>
          <a:off x="5657850" y="10144125"/>
          <a:ext cx="1181100" cy="714375"/>
        </a:xfrm>
        <a:prstGeom prst="diamond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95250</xdr:colOff>
      <xdr:row>43</xdr:row>
      <xdr:rowOff>130175</xdr:rowOff>
    </xdr:from>
    <xdr:to>
      <xdr:col>22</xdr:col>
      <xdr:colOff>228600</xdr:colOff>
      <xdr:row>43</xdr:row>
      <xdr:rowOff>130175</xdr:rowOff>
    </xdr:to>
    <xdr:cxnSp macro="">
      <xdr:nvCxnSpPr>
        <xdr:cNvPr id="56" name="直線コネクタ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CxnSpPr/>
      </xdr:nvCxnSpPr>
      <xdr:spPr>
        <a:xfrm>
          <a:off x="4781550" y="10483850"/>
          <a:ext cx="847725" cy="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95250</xdr:colOff>
      <xdr:row>43</xdr:row>
      <xdr:rowOff>152400</xdr:rowOff>
    </xdr:from>
    <xdr:to>
      <xdr:col>19</xdr:col>
      <xdr:colOff>95251</xdr:colOff>
      <xdr:row>45</xdr:row>
      <xdr:rowOff>0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CxnSpPr/>
      </xdr:nvCxnSpPr>
      <xdr:spPr>
        <a:xfrm>
          <a:off x="4781550" y="10506075"/>
          <a:ext cx="1" cy="333375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114300</xdr:colOff>
      <xdr:row>48</xdr:row>
      <xdr:rowOff>0</xdr:rowOff>
    </xdr:from>
    <xdr:to>
      <xdr:col>19</xdr:col>
      <xdr:colOff>114300</xdr:colOff>
      <xdr:row>49</xdr:row>
      <xdr:rowOff>9525</xdr:rowOff>
    </xdr:to>
    <xdr:cxnSp macro="">
      <xdr:nvCxnSpPr>
        <xdr:cNvPr id="59" name="直線コネクタ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CxnSpPr/>
      </xdr:nvCxnSpPr>
      <xdr:spPr>
        <a:xfrm>
          <a:off x="4800600" y="11563350"/>
          <a:ext cx="0" cy="24765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228600</xdr:colOff>
      <xdr:row>43</xdr:row>
      <xdr:rowOff>133350</xdr:rowOff>
    </xdr:from>
    <xdr:to>
      <xdr:col>30</xdr:col>
      <xdr:colOff>0</xdr:colOff>
      <xdr:row>43</xdr:row>
      <xdr:rowOff>133351</xdr:rowOff>
    </xdr:to>
    <xdr:cxnSp macro="">
      <xdr:nvCxnSpPr>
        <xdr:cNvPr id="60" name="直線コネクタ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CxnSpPr/>
      </xdr:nvCxnSpPr>
      <xdr:spPr>
        <a:xfrm>
          <a:off x="6819900" y="10487025"/>
          <a:ext cx="485775" cy="1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222250</xdr:colOff>
      <xdr:row>15</xdr:row>
      <xdr:rowOff>3175</xdr:rowOff>
    </xdr:from>
    <xdr:to>
      <xdr:col>30</xdr:col>
      <xdr:colOff>0</xdr:colOff>
      <xdr:row>15</xdr:row>
      <xdr:rowOff>3175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/>
      </xdr:nvCxnSpPr>
      <xdr:spPr>
        <a:xfrm flipH="1">
          <a:off x="6575425" y="3622675"/>
          <a:ext cx="730250" cy="0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49</xdr:row>
      <xdr:rowOff>9526</xdr:rowOff>
    </xdr:from>
    <xdr:to>
      <xdr:col>19</xdr:col>
      <xdr:colOff>133350</xdr:colOff>
      <xdr:row>49</xdr:row>
      <xdr:rowOff>9526</xdr:rowOff>
    </xdr:to>
    <xdr:cxnSp macro="">
      <xdr:nvCxnSpPr>
        <xdr:cNvPr id="72" name="直線コネクタ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CxnSpPr/>
      </xdr:nvCxnSpPr>
      <xdr:spPr>
        <a:xfrm>
          <a:off x="2305050" y="11811001"/>
          <a:ext cx="2514600" cy="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41</xdr:row>
      <xdr:rowOff>228600</xdr:rowOff>
    </xdr:from>
    <xdr:to>
      <xdr:col>14</xdr:col>
      <xdr:colOff>123826</xdr:colOff>
      <xdr:row>41</xdr:row>
      <xdr:rowOff>228600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CxnSpPr/>
      </xdr:nvCxnSpPr>
      <xdr:spPr>
        <a:xfrm flipH="1">
          <a:off x="2314575" y="10106025"/>
          <a:ext cx="1304926" cy="0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</xdr:colOff>
      <xdr:row>1</xdr:row>
      <xdr:rowOff>209550</xdr:rowOff>
    </xdr:from>
    <xdr:to>
      <xdr:col>17</xdr:col>
      <xdr:colOff>228600</xdr:colOff>
      <xdr:row>5</xdr:row>
      <xdr:rowOff>9525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809875" y="447675"/>
          <a:ext cx="1628775" cy="771525"/>
        </a:xfrm>
        <a:prstGeom prst="ellipse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5</xdr:row>
      <xdr:rowOff>228600</xdr:rowOff>
    </xdr:from>
    <xdr:to>
      <xdr:col>7</xdr:col>
      <xdr:colOff>19050</xdr:colOff>
      <xdr:row>8</xdr:row>
      <xdr:rowOff>228600</xdr:rowOff>
    </xdr:to>
    <xdr:sp macro="" textlink="">
      <xdr:nvSpPr>
        <xdr:cNvPr id="2" name="片側の 2 つの角を切り取った四角形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495300" y="1438275"/>
          <a:ext cx="1190625" cy="714375"/>
        </a:xfrm>
        <a:prstGeom prst="snip2Same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19050</xdr:colOff>
      <xdr:row>13</xdr:row>
      <xdr:rowOff>228600</xdr:rowOff>
    </xdr:from>
    <xdr:to>
      <xdr:col>7</xdr:col>
      <xdr:colOff>19050</xdr:colOff>
      <xdr:row>16</xdr:row>
      <xdr:rowOff>228600</xdr:rowOff>
    </xdr:to>
    <xdr:sp macro="" textlink="">
      <xdr:nvSpPr>
        <xdr:cNvPr id="3" name="片側の 2 つの角を切り取った四角形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 rot="10800000">
          <a:off x="495300" y="7248525"/>
          <a:ext cx="1190625" cy="714375"/>
        </a:xfrm>
        <a:prstGeom prst="snip2Same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5</xdr:row>
      <xdr:rowOff>228600</xdr:rowOff>
    </xdr:from>
    <xdr:to>
      <xdr:col>7</xdr:col>
      <xdr:colOff>19050</xdr:colOff>
      <xdr:row>8</xdr:row>
      <xdr:rowOff>228600</xdr:rowOff>
    </xdr:to>
    <xdr:sp macro="" textlink="">
      <xdr:nvSpPr>
        <xdr:cNvPr id="2" name="片側の 2 つの角を切り取った四角形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495300" y="1438275"/>
          <a:ext cx="1190625" cy="714375"/>
        </a:xfrm>
        <a:prstGeom prst="snip2Same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171450</xdr:colOff>
      <xdr:row>10</xdr:row>
      <xdr:rowOff>38100</xdr:rowOff>
    </xdr:from>
    <xdr:to>
      <xdr:col>35</xdr:col>
      <xdr:colOff>95228</xdr:colOff>
      <xdr:row>22</xdr:row>
      <xdr:rowOff>232552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1238250"/>
          <a:ext cx="3971903" cy="3051952"/>
        </a:xfrm>
        <a:prstGeom prst="rect">
          <a:avLst/>
        </a:prstGeom>
      </xdr:spPr>
    </xdr:pic>
    <xdr:clientData/>
  </xdr:twoCellAnchor>
  <xdr:twoCellAnchor>
    <xdr:from>
      <xdr:col>13</xdr:col>
      <xdr:colOff>209550</xdr:colOff>
      <xdr:row>23</xdr:row>
      <xdr:rowOff>200025</xdr:rowOff>
    </xdr:from>
    <xdr:to>
      <xdr:col>22</xdr:col>
      <xdr:colOff>28575</xdr:colOff>
      <xdr:row>26</xdr:row>
      <xdr:rowOff>28575</xdr:rowOff>
    </xdr:to>
    <xdr:sp macro="" textlink="">
      <xdr:nvSpPr>
        <xdr:cNvPr id="3" name="角丸四角形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2038350" y="4495800"/>
          <a:ext cx="1962150" cy="542925"/>
        </a:xfrm>
        <a:prstGeom prst="roundRect">
          <a:avLst/>
        </a:prstGeom>
        <a:noFill/>
        <a:ln w="762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12</xdr:col>
      <xdr:colOff>114301</xdr:colOff>
      <xdr:row>11</xdr:row>
      <xdr:rowOff>167911</xdr:rowOff>
    </xdr:from>
    <xdr:to>
      <xdr:col>15</xdr:col>
      <xdr:colOff>38176</xdr:colOff>
      <xdr:row>13</xdr:row>
      <xdr:rowOff>229052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976" y="1606186"/>
          <a:ext cx="638250" cy="537391"/>
        </a:xfrm>
        <a:prstGeom prst="rect">
          <a:avLst/>
        </a:prstGeom>
      </xdr:spPr>
    </xdr:pic>
    <xdr:clientData/>
  </xdr:twoCellAnchor>
  <xdr:twoCellAnchor editAs="oneCell">
    <xdr:from>
      <xdr:col>12</xdr:col>
      <xdr:colOff>111901</xdr:colOff>
      <xdr:row>20</xdr:row>
      <xdr:rowOff>98836</xdr:rowOff>
    </xdr:from>
    <xdr:to>
      <xdr:col>15</xdr:col>
      <xdr:colOff>35776</xdr:colOff>
      <xdr:row>22</xdr:row>
      <xdr:rowOff>159977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576" y="3680236"/>
          <a:ext cx="638250" cy="537391"/>
        </a:xfrm>
        <a:prstGeom prst="rect">
          <a:avLst/>
        </a:prstGeom>
      </xdr:spPr>
    </xdr:pic>
    <xdr:clientData/>
  </xdr:twoCellAnchor>
  <xdr:twoCellAnchor editAs="oneCell">
    <xdr:from>
      <xdr:col>16</xdr:col>
      <xdr:colOff>190500</xdr:colOff>
      <xdr:row>13</xdr:row>
      <xdr:rowOff>115486</xdr:rowOff>
    </xdr:from>
    <xdr:to>
      <xdr:col>19</xdr:col>
      <xdr:colOff>166651</xdr:colOff>
      <xdr:row>15</xdr:row>
      <xdr:rowOff>176627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733675" y="2030011"/>
          <a:ext cx="690526" cy="537391"/>
        </a:xfrm>
        <a:prstGeom prst="rect">
          <a:avLst/>
        </a:prstGeom>
      </xdr:spPr>
    </xdr:pic>
    <xdr:clientData/>
  </xdr:twoCellAnchor>
  <xdr:twoCellAnchor editAs="oneCell">
    <xdr:from>
      <xdr:col>36</xdr:col>
      <xdr:colOff>221401</xdr:colOff>
      <xdr:row>18</xdr:row>
      <xdr:rowOff>94036</xdr:rowOff>
    </xdr:from>
    <xdr:to>
      <xdr:col>39</xdr:col>
      <xdr:colOff>145276</xdr:colOff>
      <xdr:row>20</xdr:row>
      <xdr:rowOff>155177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7076" y="3199186"/>
          <a:ext cx="638250" cy="537391"/>
        </a:xfrm>
        <a:prstGeom prst="rect">
          <a:avLst/>
        </a:prstGeom>
      </xdr:spPr>
    </xdr:pic>
    <xdr:clientData/>
  </xdr:twoCellAnchor>
  <xdr:twoCellAnchor editAs="oneCell">
    <xdr:from>
      <xdr:col>34</xdr:col>
      <xdr:colOff>123825</xdr:colOff>
      <xdr:row>10</xdr:row>
      <xdr:rowOff>196411</xdr:rowOff>
    </xdr:from>
    <xdr:to>
      <xdr:col>37</xdr:col>
      <xdr:colOff>95176</xdr:colOff>
      <xdr:row>13</xdr:row>
      <xdr:rowOff>19427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953250" y="1396561"/>
          <a:ext cx="685726" cy="537391"/>
        </a:xfrm>
        <a:prstGeom prst="rect">
          <a:avLst/>
        </a:prstGeom>
      </xdr:spPr>
    </xdr:pic>
    <xdr:clientData/>
  </xdr:twoCellAnchor>
  <xdr:twoCellAnchor>
    <xdr:from>
      <xdr:col>16</xdr:col>
      <xdr:colOff>114300</xdr:colOff>
      <xdr:row>5</xdr:row>
      <xdr:rowOff>161924</xdr:rowOff>
    </xdr:from>
    <xdr:to>
      <xdr:col>25</xdr:col>
      <xdr:colOff>95250</xdr:colOff>
      <xdr:row>7</xdr:row>
      <xdr:rowOff>190499</xdr:rowOff>
    </xdr:to>
    <xdr:sp macro="" textlink="">
      <xdr:nvSpPr>
        <xdr:cNvPr id="9" name="角丸四角形吹き出し 8">
          <a:extLst>
            <a:ext uri="{FF2B5EF4-FFF2-40B4-BE49-F238E27FC236}">
              <a16:creationId xmlns:a16="http://schemas.microsoft.com/office/drawing/2014/main" id="{00000000-0008-0000-0A00-000009000000}"/>
            </a:ext>
            <a:ext uri="{147F2762-F138-4A5C-976F-8EAC2B608ADB}">
              <a16:predDERef xmlns:a16="http://schemas.microsoft.com/office/drawing/2014/main" pred="{00000000-0008-0000-0A00-000008000000}"/>
            </a:ext>
          </a:extLst>
        </xdr:cNvPr>
        <xdr:cNvSpPr/>
      </xdr:nvSpPr>
      <xdr:spPr>
        <a:xfrm>
          <a:off x="4086225" y="1352549"/>
          <a:ext cx="2124075" cy="504825"/>
        </a:xfrm>
        <a:prstGeom prst="wedgeRoundRectCallout">
          <a:avLst>
            <a:gd name="adj1" fmla="val -478"/>
            <a:gd name="adj2" fmla="val 176730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 b="1"/>
            <a:t>タイトルロゴ</a:t>
          </a:r>
          <a:endParaRPr kumimoji="1" lang="ja-JP" altLang="en-US" sz="1100" b="1"/>
        </a:p>
      </xdr:txBody>
    </xdr:sp>
    <xdr:clientData/>
  </xdr:twoCellAnchor>
  <xdr:twoCellAnchor>
    <xdr:from>
      <xdr:col>0</xdr:col>
      <xdr:colOff>333375</xdr:colOff>
      <xdr:row>23</xdr:row>
      <xdr:rowOff>123824</xdr:rowOff>
    </xdr:from>
    <xdr:to>
      <xdr:col>9</xdr:col>
      <xdr:colOff>152400</xdr:colOff>
      <xdr:row>25</xdr:row>
      <xdr:rowOff>152399</xdr:rowOff>
    </xdr:to>
    <xdr:sp macro="" textlink="">
      <xdr:nvSpPr>
        <xdr:cNvPr id="10" name="角丸四角形吹き出し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/>
      </xdr:nvSpPr>
      <xdr:spPr>
        <a:xfrm>
          <a:off x="333375" y="5610224"/>
          <a:ext cx="2124075" cy="504825"/>
        </a:xfrm>
        <a:prstGeom prst="wedgeRoundRectCallout">
          <a:avLst>
            <a:gd name="adj1" fmla="val 124634"/>
            <a:gd name="adj2" fmla="val 2012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 b="1"/>
            <a:t>対戦モードメニュー</a:t>
          </a:r>
          <a:endParaRPr kumimoji="1" lang="ja-JP" altLang="en-US" sz="1100" b="1"/>
        </a:p>
      </xdr:txBody>
    </xdr:sp>
    <xdr:clientData/>
  </xdr:twoCellAnchor>
  <xdr:twoCellAnchor>
    <xdr:from>
      <xdr:col>1</xdr:col>
      <xdr:colOff>57150</xdr:colOff>
      <xdr:row>15</xdr:row>
      <xdr:rowOff>142875</xdr:rowOff>
    </xdr:from>
    <xdr:to>
      <xdr:col>10</xdr:col>
      <xdr:colOff>38100</xdr:colOff>
      <xdr:row>19</xdr:row>
      <xdr:rowOff>133350</xdr:rowOff>
    </xdr:to>
    <xdr:sp macro="" textlink="">
      <xdr:nvSpPr>
        <xdr:cNvPr id="11" name="角丸四角形吹き出し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/>
      </xdr:nvSpPr>
      <xdr:spPr>
        <a:xfrm>
          <a:off x="457200" y="3724275"/>
          <a:ext cx="2124075" cy="942975"/>
        </a:xfrm>
        <a:prstGeom prst="wedgeRoundRectCallout">
          <a:avLst>
            <a:gd name="adj1" fmla="val 200418"/>
            <a:gd name="adj2" fmla="val 16367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 b="1"/>
            <a:t>ミッションモード</a:t>
          </a:r>
          <a:br>
            <a:rPr kumimoji="1" lang="en-US" altLang="ja-JP" sz="1600" b="1"/>
          </a:br>
          <a:r>
            <a:rPr kumimoji="1" lang="ja-JP" altLang="en-US" sz="1600" b="1"/>
            <a:t>メニュー</a:t>
          </a:r>
          <a:endParaRPr kumimoji="1" lang="ja-JP" altLang="en-US" sz="1100" b="1"/>
        </a:p>
      </xdr:txBody>
    </xdr:sp>
    <xdr:clientData/>
  </xdr:twoCellAnchor>
  <xdr:twoCellAnchor>
    <xdr:from>
      <xdr:col>0</xdr:col>
      <xdr:colOff>390525</xdr:colOff>
      <xdr:row>20</xdr:row>
      <xdr:rowOff>57149</xdr:rowOff>
    </xdr:from>
    <xdr:to>
      <xdr:col>9</xdr:col>
      <xdr:colOff>209550</xdr:colOff>
      <xdr:row>22</xdr:row>
      <xdr:rowOff>85724</xdr:rowOff>
    </xdr:to>
    <xdr:sp macro="" textlink="">
      <xdr:nvSpPr>
        <xdr:cNvPr id="12" name="角丸四角形吹き出し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390525" y="4829174"/>
          <a:ext cx="2124075" cy="504825"/>
        </a:xfrm>
        <a:prstGeom prst="wedgeRoundRectCallout">
          <a:avLst>
            <a:gd name="adj1" fmla="val 98625"/>
            <a:gd name="adj2" fmla="val 118240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 b="1"/>
            <a:t>メニューカーソル</a:t>
          </a:r>
          <a:endParaRPr kumimoji="1" lang="ja-JP" altLang="en-US" sz="1100" b="1"/>
        </a:p>
      </xdr:txBody>
    </xdr:sp>
    <xdr:clientData/>
  </xdr:twoCellAnchor>
  <xdr:twoCellAnchor>
    <xdr:from>
      <xdr:col>34</xdr:col>
      <xdr:colOff>180975</xdr:colOff>
      <xdr:row>6</xdr:row>
      <xdr:rowOff>133350</xdr:rowOff>
    </xdr:from>
    <xdr:to>
      <xdr:col>43</xdr:col>
      <xdr:colOff>161925</xdr:colOff>
      <xdr:row>8</xdr:row>
      <xdr:rowOff>161925</xdr:rowOff>
    </xdr:to>
    <xdr:sp macro="" textlink="">
      <xdr:nvSpPr>
        <xdr:cNvPr id="13" name="角丸四角形吹き出し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/>
      </xdr:nvSpPr>
      <xdr:spPr>
        <a:xfrm>
          <a:off x="8439150" y="1562100"/>
          <a:ext cx="2124075" cy="504825"/>
        </a:xfrm>
        <a:prstGeom prst="wedgeRoundRectCallout">
          <a:avLst>
            <a:gd name="adj1" fmla="val -40389"/>
            <a:gd name="adj2" fmla="val 784278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 b="1"/>
            <a:t>オプションメニュー</a:t>
          </a:r>
          <a:endParaRPr kumimoji="1" lang="ja-JP" altLang="en-US" sz="1100" b="1"/>
        </a:p>
      </xdr:txBody>
    </xdr:sp>
    <xdr:clientData/>
  </xdr:twoCellAnchor>
  <xdr:twoCellAnchor>
    <xdr:from>
      <xdr:col>3</xdr:col>
      <xdr:colOff>161925</xdr:colOff>
      <xdr:row>6</xdr:row>
      <xdr:rowOff>180974</xdr:rowOff>
    </xdr:from>
    <xdr:to>
      <xdr:col>12</xdr:col>
      <xdr:colOff>142875</xdr:colOff>
      <xdr:row>8</xdr:row>
      <xdr:rowOff>209549</xdr:rowOff>
    </xdr:to>
    <xdr:sp macro="" textlink="">
      <xdr:nvSpPr>
        <xdr:cNvPr id="14" name="角丸四角形吹き出し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/>
      </xdr:nvSpPr>
      <xdr:spPr>
        <a:xfrm>
          <a:off x="1038225" y="1609724"/>
          <a:ext cx="2124075" cy="504825"/>
        </a:xfrm>
        <a:prstGeom prst="wedgeRoundRectCallout">
          <a:avLst>
            <a:gd name="adj1" fmla="val 62751"/>
            <a:gd name="adj2" fmla="val 20503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 b="1"/>
            <a:t>背景ユニット</a:t>
          </a:r>
          <a:endParaRPr kumimoji="1" lang="ja-JP" altLang="en-US" sz="11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</xdr:colOff>
      <xdr:row>19</xdr:row>
      <xdr:rowOff>9529</xdr:rowOff>
    </xdr:from>
    <xdr:to>
      <xdr:col>9</xdr:col>
      <xdr:colOff>228599</xdr:colOff>
      <xdr:row>21</xdr:row>
      <xdr:rowOff>3</xdr:rowOff>
    </xdr:to>
    <xdr:sp macro="" textlink="">
      <xdr:nvSpPr>
        <xdr:cNvPr id="2" name="二等辺三角形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 rot="5400000">
          <a:off x="1357312" y="3357566"/>
          <a:ext cx="466724" cy="457200"/>
        </a:xfrm>
        <a:prstGeom prst="triangl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238124</xdr:colOff>
      <xdr:row>15</xdr:row>
      <xdr:rowOff>4</xdr:rowOff>
    </xdr:from>
    <xdr:to>
      <xdr:col>39</xdr:col>
      <xdr:colOff>219074</xdr:colOff>
      <xdr:row>16</xdr:row>
      <xdr:rowOff>228603</xdr:rowOff>
    </xdr:to>
    <xdr:sp macro="" textlink="">
      <xdr:nvSpPr>
        <xdr:cNvPr id="3" name="二等辺三角形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 rot="16200000">
          <a:off x="8491537" y="2395541"/>
          <a:ext cx="466724" cy="457200"/>
        </a:xfrm>
        <a:prstGeom prst="triangle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10</xdr:col>
      <xdr:colOff>9526</xdr:colOff>
      <xdr:row>19</xdr:row>
      <xdr:rowOff>76200</xdr:rowOff>
    </xdr:from>
    <xdr:to>
      <xdr:col>11</xdr:col>
      <xdr:colOff>100007</xdr:colOff>
      <xdr:row>20</xdr:row>
      <xdr:rowOff>114753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326" y="3419475"/>
          <a:ext cx="328606" cy="276678"/>
        </a:xfrm>
        <a:prstGeom prst="rect">
          <a:avLst/>
        </a:prstGeom>
      </xdr:spPr>
    </xdr:pic>
    <xdr:clientData/>
  </xdr:twoCellAnchor>
  <xdr:twoCellAnchor editAs="oneCell">
    <xdr:from>
      <xdr:col>19</xdr:col>
      <xdr:colOff>35701</xdr:colOff>
      <xdr:row>22</xdr:row>
      <xdr:rowOff>169050</xdr:rowOff>
    </xdr:from>
    <xdr:to>
      <xdr:col>20</xdr:col>
      <xdr:colOff>126182</xdr:colOff>
      <xdr:row>23</xdr:row>
      <xdr:rowOff>207603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7626" y="4226700"/>
          <a:ext cx="328606" cy="276678"/>
        </a:xfrm>
        <a:prstGeom prst="rect">
          <a:avLst/>
        </a:prstGeom>
      </xdr:spPr>
    </xdr:pic>
    <xdr:clientData/>
  </xdr:twoCellAnchor>
  <xdr:twoCellAnchor editAs="oneCell">
    <xdr:from>
      <xdr:col>15</xdr:col>
      <xdr:colOff>80926</xdr:colOff>
      <xdr:row>16</xdr:row>
      <xdr:rowOff>90450</xdr:rowOff>
    </xdr:from>
    <xdr:to>
      <xdr:col>16</xdr:col>
      <xdr:colOff>171407</xdr:colOff>
      <xdr:row>17</xdr:row>
      <xdr:rowOff>129003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0351" y="2719350"/>
          <a:ext cx="328606" cy="276678"/>
        </a:xfrm>
        <a:prstGeom prst="rect">
          <a:avLst/>
        </a:prstGeom>
      </xdr:spPr>
    </xdr:pic>
    <xdr:clientData/>
  </xdr:twoCellAnchor>
  <xdr:twoCellAnchor editAs="oneCell">
    <xdr:from>
      <xdr:col>36</xdr:col>
      <xdr:colOff>57150</xdr:colOff>
      <xdr:row>15</xdr:row>
      <xdr:rowOff>73800</xdr:rowOff>
    </xdr:from>
    <xdr:to>
      <xdr:col>37</xdr:col>
      <xdr:colOff>159526</xdr:colOff>
      <xdr:row>16</xdr:row>
      <xdr:rowOff>112353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077200" y="2464575"/>
          <a:ext cx="340501" cy="276678"/>
        </a:xfrm>
        <a:prstGeom prst="rect">
          <a:avLst/>
        </a:prstGeom>
      </xdr:spPr>
    </xdr:pic>
    <xdr:clientData/>
  </xdr:twoCellAnchor>
  <xdr:twoCellAnchor editAs="oneCell">
    <xdr:from>
      <xdr:col>31</xdr:col>
      <xdr:colOff>57150</xdr:colOff>
      <xdr:row>16</xdr:row>
      <xdr:rowOff>80925</xdr:rowOff>
    </xdr:from>
    <xdr:to>
      <xdr:col>32</xdr:col>
      <xdr:colOff>166651</xdr:colOff>
      <xdr:row>17</xdr:row>
      <xdr:rowOff>119478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886575" y="2709825"/>
          <a:ext cx="347626" cy="276678"/>
        </a:xfrm>
        <a:prstGeom prst="rect">
          <a:avLst/>
        </a:prstGeom>
      </xdr:spPr>
    </xdr:pic>
    <xdr:clientData/>
  </xdr:twoCellAnchor>
  <xdr:twoCellAnchor editAs="oneCell">
    <xdr:from>
      <xdr:col>27</xdr:col>
      <xdr:colOff>95250</xdr:colOff>
      <xdr:row>15</xdr:row>
      <xdr:rowOff>190500</xdr:rowOff>
    </xdr:from>
    <xdr:to>
      <xdr:col>28</xdr:col>
      <xdr:colOff>152401</xdr:colOff>
      <xdr:row>17</xdr:row>
      <xdr:rowOff>453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972175" y="2581275"/>
          <a:ext cx="295276" cy="276678"/>
        </a:xfrm>
        <a:prstGeom prst="rect">
          <a:avLst/>
        </a:prstGeom>
      </xdr:spPr>
    </xdr:pic>
    <xdr:clientData/>
  </xdr:twoCellAnchor>
  <xdr:twoCellAnchor>
    <xdr:from>
      <xdr:col>1</xdr:col>
      <xdr:colOff>47624</xdr:colOff>
      <xdr:row>3</xdr:row>
      <xdr:rowOff>85725</xdr:rowOff>
    </xdr:from>
    <xdr:to>
      <xdr:col>8</xdr:col>
      <xdr:colOff>114300</xdr:colOff>
      <xdr:row>7</xdr:row>
      <xdr:rowOff>47625</xdr:rowOff>
    </xdr:to>
    <xdr:sp macro="" textlink="">
      <xdr:nvSpPr>
        <xdr:cNvPr id="10" name="角丸四角形吹き出し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/>
      </xdr:nvSpPr>
      <xdr:spPr>
        <a:xfrm>
          <a:off x="447674" y="800100"/>
          <a:ext cx="1733551" cy="1152525"/>
        </a:xfrm>
        <a:prstGeom prst="wedgeRoundRectCallout">
          <a:avLst>
            <a:gd name="adj1" fmla="val 45738"/>
            <a:gd name="adj2" fmla="val 117426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VS.</a:t>
          </a:r>
          <a:r>
            <a:rPr kumimoji="1" lang="ja-JP" altLang="en-US" sz="1100"/>
            <a:t>モードでは、</a:t>
          </a:r>
          <a:br>
            <a:rPr kumimoji="1" lang="en-US" altLang="ja-JP" sz="1100"/>
          </a:br>
          <a:r>
            <a:rPr kumimoji="1" lang="ja-JP" altLang="en-US" sz="1100"/>
            <a:t>１プレイヤー側の表示</a:t>
          </a:r>
          <a:br>
            <a:rPr kumimoji="1" lang="en-US" altLang="ja-JP" sz="1100"/>
          </a:br>
          <a:r>
            <a:rPr kumimoji="1" lang="en-US" altLang="ja-JP" sz="1100"/>
            <a:t>Mission</a:t>
          </a:r>
          <a:r>
            <a:rPr kumimoji="1" lang="ja-JP" altLang="en-US" sz="1100"/>
            <a:t>モードでは、</a:t>
          </a:r>
          <a:endParaRPr kumimoji="1" lang="en-US" altLang="ja-JP" sz="1100"/>
        </a:p>
        <a:p>
          <a:pPr algn="l"/>
          <a:r>
            <a:rPr kumimoji="1" lang="ja-JP" altLang="en-US" sz="1100"/>
            <a:t>プレイヤー側の表示</a:t>
          </a:r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28574</xdr:colOff>
      <xdr:row>5</xdr:row>
      <xdr:rowOff>0</xdr:rowOff>
    </xdr:from>
    <xdr:to>
      <xdr:col>18</xdr:col>
      <xdr:colOff>105002</xdr:colOff>
      <xdr:row>7</xdr:row>
      <xdr:rowOff>142875</xdr:rowOff>
    </xdr:to>
    <xdr:sp macro="" textlink="">
      <xdr:nvSpPr>
        <xdr:cNvPr id="11" name="角丸四角形吹き出し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/>
      </xdr:nvSpPr>
      <xdr:spPr>
        <a:xfrm>
          <a:off x="2571749" y="1162050"/>
          <a:ext cx="1981428" cy="647700"/>
        </a:xfrm>
        <a:prstGeom prst="wedgeRoundRectCallout">
          <a:avLst>
            <a:gd name="adj1" fmla="val 20095"/>
            <a:gd name="adj2" fmla="val 15686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１プレイヤー側</a:t>
          </a:r>
          <a:endParaRPr kumimoji="1" lang="en-US" altLang="ja-JP" sz="1100"/>
        </a:p>
        <a:p>
          <a:pPr algn="l"/>
          <a:r>
            <a:rPr kumimoji="1" lang="ja-JP" altLang="en-US" sz="1100"/>
            <a:t>兵種と兵数の表示</a:t>
          </a:r>
        </a:p>
      </xdr:txBody>
    </xdr:sp>
    <xdr:clientData/>
  </xdr:twoCellAnchor>
  <xdr:twoCellAnchor>
    <xdr:from>
      <xdr:col>14</xdr:col>
      <xdr:colOff>123825</xdr:colOff>
      <xdr:row>2</xdr:row>
      <xdr:rowOff>219075</xdr:rowOff>
    </xdr:from>
    <xdr:to>
      <xdr:col>21</xdr:col>
      <xdr:colOff>171450</xdr:colOff>
      <xdr:row>5</xdr:row>
      <xdr:rowOff>0</xdr:rowOff>
    </xdr:to>
    <xdr:sp macro="" textlink="">
      <xdr:nvSpPr>
        <xdr:cNvPr id="12" name="角丸四角形吹き出し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/>
      </xdr:nvSpPr>
      <xdr:spPr>
        <a:xfrm>
          <a:off x="3619500" y="695325"/>
          <a:ext cx="1714500" cy="647700"/>
        </a:xfrm>
        <a:prstGeom prst="wedgeRoundRectCallout">
          <a:avLst>
            <a:gd name="adj1" fmla="val 26659"/>
            <a:gd name="adj2" fmla="val 27662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１プレイヤー側</a:t>
          </a:r>
          <a:endParaRPr kumimoji="1" lang="en-US" altLang="ja-JP" sz="1100"/>
        </a:p>
        <a:p>
          <a:pPr algn="l"/>
          <a:r>
            <a:rPr kumimoji="1" lang="ja-JP" altLang="en-US" sz="1100"/>
            <a:t>兵種のボタン割当て</a:t>
          </a:r>
        </a:p>
      </xdr:txBody>
    </xdr:sp>
    <xdr:clientData/>
  </xdr:twoCellAnchor>
  <xdr:twoCellAnchor>
    <xdr:from>
      <xdr:col>1</xdr:col>
      <xdr:colOff>38101</xdr:colOff>
      <xdr:row>10</xdr:row>
      <xdr:rowOff>57149</xdr:rowOff>
    </xdr:from>
    <xdr:to>
      <xdr:col>7</xdr:col>
      <xdr:colOff>57150</xdr:colOff>
      <xdr:row>13</xdr:row>
      <xdr:rowOff>200025</xdr:rowOff>
    </xdr:to>
    <xdr:sp macro="" textlink="">
      <xdr:nvSpPr>
        <xdr:cNvPr id="13" name="角丸四角形吹き出し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/>
      </xdr:nvSpPr>
      <xdr:spPr>
        <a:xfrm>
          <a:off x="438151" y="2447924"/>
          <a:ext cx="1447799" cy="857251"/>
        </a:xfrm>
        <a:prstGeom prst="wedgeRoundRectCallout">
          <a:avLst>
            <a:gd name="adj1" fmla="val 85220"/>
            <a:gd name="adj2" fmla="val 11616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１プレイヤー側</a:t>
          </a:r>
          <a:br>
            <a:rPr kumimoji="1" lang="en-US" altLang="ja-JP" sz="1100"/>
          </a:br>
          <a:r>
            <a:rPr kumimoji="1" lang="ja-JP" altLang="en-US" sz="1100"/>
            <a:t>陣地の耐久値</a:t>
          </a:r>
        </a:p>
      </xdr:txBody>
    </xdr:sp>
    <xdr:clientData/>
  </xdr:twoCellAnchor>
  <xdr:twoCellAnchor>
    <xdr:from>
      <xdr:col>1</xdr:col>
      <xdr:colOff>28576</xdr:colOff>
      <xdr:row>16</xdr:row>
      <xdr:rowOff>114299</xdr:rowOff>
    </xdr:from>
    <xdr:to>
      <xdr:col>7</xdr:col>
      <xdr:colOff>47625</xdr:colOff>
      <xdr:row>20</xdr:row>
      <xdr:rowOff>19050</xdr:rowOff>
    </xdr:to>
    <xdr:sp macro="" textlink="">
      <xdr:nvSpPr>
        <xdr:cNvPr id="15" name="角丸四角形吹き出し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/>
      </xdr:nvSpPr>
      <xdr:spPr>
        <a:xfrm>
          <a:off x="428626" y="3933824"/>
          <a:ext cx="1447799" cy="857251"/>
        </a:xfrm>
        <a:prstGeom prst="wedgeRoundRectCallout">
          <a:avLst>
            <a:gd name="adj1" fmla="val 68114"/>
            <a:gd name="adj2" fmla="val 34949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１プレイヤー側</a:t>
          </a:r>
          <a:br>
            <a:rPr kumimoji="1" lang="en-US" altLang="ja-JP" sz="1100"/>
          </a:br>
          <a:r>
            <a:rPr kumimoji="1" lang="ja-JP" altLang="en-US" sz="1100"/>
            <a:t>出陣カーソル</a:t>
          </a:r>
        </a:p>
      </xdr:txBody>
    </xdr:sp>
    <xdr:clientData/>
  </xdr:twoCellAnchor>
  <xdr:twoCellAnchor>
    <xdr:from>
      <xdr:col>1</xdr:col>
      <xdr:colOff>114301</xdr:colOff>
      <xdr:row>23</xdr:row>
      <xdr:rowOff>28574</xdr:rowOff>
    </xdr:from>
    <xdr:to>
      <xdr:col>7</xdr:col>
      <xdr:colOff>133350</xdr:colOff>
      <xdr:row>26</xdr:row>
      <xdr:rowOff>171450</xdr:rowOff>
    </xdr:to>
    <xdr:sp macro="" textlink="">
      <xdr:nvSpPr>
        <xdr:cNvPr id="16" name="角丸四角形吹き出し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/>
      </xdr:nvSpPr>
      <xdr:spPr>
        <a:xfrm>
          <a:off x="514351" y="5514974"/>
          <a:ext cx="1447799" cy="857251"/>
        </a:xfrm>
        <a:prstGeom prst="wedgeRoundRectCallout">
          <a:avLst>
            <a:gd name="adj1" fmla="val 235877"/>
            <a:gd name="adj2" fmla="val -43940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１プレイヤー側</a:t>
          </a:r>
          <a:br>
            <a:rPr kumimoji="1" lang="en-US" altLang="ja-JP" sz="1100"/>
          </a:br>
          <a:r>
            <a:rPr kumimoji="1" lang="ja-JP" altLang="en-US" sz="1100"/>
            <a:t>兵ユニット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0"/>
  <sheetViews>
    <sheetView zoomScaleNormal="100" workbookViewId="0">
      <selection activeCell="F8" sqref="F8"/>
    </sheetView>
  </sheetViews>
  <sheetFormatPr defaultRowHeight="18"/>
  <cols>
    <col min="1" max="1" width="5.19921875" bestFit="1" customWidth="1"/>
    <col min="2" max="2" width="3.3984375" bestFit="1" customWidth="1"/>
    <col min="3" max="3" width="22.69921875" bestFit="1" customWidth="1"/>
    <col min="4" max="4" width="58.69921875" bestFit="1" customWidth="1"/>
  </cols>
  <sheetData>
    <row r="1" spans="1:4" s="12" customFormat="1">
      <c r="A1" s="52" t="s">
        <v>0</v>
      </c>
      <c r="C1" s="121" t="s">
        <v>1</v>
      </c>
      <c r="D1" s="121"/>
    </row>
    <row r="3" spans="1:4">
      <c r="B3" t="s">
        <v>2</v>
      </c>
      <c r="C3" s="1"/>
      <c r="D3" s="1"/>
    </row>
    <row r="4" spans="1:4">
      <c r="B4" t="s">
        <v>2</v>
      </c>
      <c r="C4" s="1"/>
      <c r="D4" s="1"/>
    </row>
    <row r="5" spans="1:4">
      <c r="B5" t="s">
        <v>2</v>
      </c>
      <c r="C5" s="1"/>
      <c r="D5" s="1"/>
    </row>
    <row r="6" spans="1:4">
      <c r="B6" t="s">
        <v>2</v>
      </c>
      <c r="C6" s="1"/>
      <c r="D6" s="1"/>
    </row>
    <row r="7" spans="1:4">
      <c r="B7" t="s">
        <v>2</v>
      </c>
      <c r="C7" s="1"/>
      <c r="D7" s="1"/>
    </row>
    <row r="8" spans="1:4">
      <c r="B8" t="s">
        <v>2</v>
      </c>
      <c r="C8" s="1"/>
      <c r="D8" s="1"/>
    </row>
    <row r="9" spans="1:4">
      <c r="B9" t="s">
        <v>2</v>
      </c>
      <c r="C9" s="1"/>
      <c r="D9" s="1"/>
    </row>
    <row r="10" spans="1:4">
      <c r="B10" t="s">
        <v>2</v>
      </c>
      <c r="C10" s="1"/>
      <c r="D10" s="1"/>
    </row>
    <row r="11" spans="1:4">
      <c r="B11" t="s">
        <v>2</v>
      </c>
      <c r="C11" s="1"/>
      <c r="D11" s="1"/>
    </row>
    <row r="12" spans="1:4">
      <c r="B12" t="s">
        <v>2</v>
      </c>
      <c r="C12" s="1"/>
      <c r="D12" s="1"/>
    </row>
    <row r="13" spans="1:4">
      <c r="B13" t="s">
        <v>2</v>
      </c>
      <c r="C13" s="1"/>
      <c r="D13" s="1"/>
    </row>
    <row r="14" spans="1:4">
      <c r="C14" s="1"/>
      <c r="D14" s="1"/>
    </row>
    <row r="15" spans="1:4">
      <c r="C15" s="1"/>
      <c r="D15" s="1"/>
    </row>
    <row r="16" spans="1:4">
      <c r="C16" s="1"/>
      <c r="D16" s="1"/>
    </row>
    <row r="17" spans="3:4">
      <c r="C17" s="1"/>
      <c r="D17" s="1"/>
    </row>
    <row r="18" spans="3:4">
      <c r="C18" s="1"/>
      <c r="D18" s="1"/>
    </row>
    <row r="19" spans="3:4">
      <c r="C19" s="1"/>
      <c r="D19" s="1"/>
    </row>
    <row r="20" spans="3:4">
      <c r="C20" s="1"/>
      <c r="D20" s="1"/>
    </row>
  </sheetData>
  <mergeCells count="1">
    <mergeCell ref="C1:D1"/>
  </mergeCells>
  <phoneticPr fontId="2"/>
  <hyperlinks>
    <hyperlink ref="A1" location="目次!A1" display="◀" xr:uid="{00000000-0004-0000-0800-000000000000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9"/>
  <sheetViews>
    <sheetView topLeftCell="A2" zoomScaleNormal="100" workbookViewId="0">
      <selection activeCell="D4" sqref="D4"/>
    </sheetView>
  </sheetViews>
  <sheetFormatPr defaultRowHeight="18"/>
  <cols>
    <col min="1" max="1" width="3.59765625" customWidth="1"/>
    <col min="2" max="2" width="3.3984375" style="6" bestFit="1" customWidth="1"/>
    <col min="3" max="3" width="17.19921875" bestFit="1" customWidth="1"/>
    <col min="4" max="4" width="75.5" bestFit="1" customWidth="1"/>
  </cols>
  <sheetData>
    <row r="1" spans="2:4" s="12" customFormat="1">
      <c r="B1" s="11"/>
      <c r="C1" s="12" t="s">
        <v>3</v>
      </c>
    </row>
    <row r="2" spans="2:4" ht="18.600000000000001" thickBot="1"/>
    <row r="3" spans="2:4" ht="18.600000000000001" thickBot="1">
      <c r="B3" s="122" t="s">
        <v>4</v>
      </c>
      <c r="C3" s="123"/>
      <c r="D3" s="5"/>
    </row>
    <row r="4" spans="2:4">
      <c r="B4" s="8" t="s">
        <v>2</v>
      </c>
      <c r="C4" s="9" t="s">
        <v>5</v>
      </c>
      <c r="D4" s="4" t="s">
        <v>6</v>
      </c>
    </row>
    <row r="5" spans="2:4">
      <c r="B5" s="8" t="str">
        <f>IF(C5="","","・")</f>
        <v>・</v>
      </c>
      <c r="C5" s="9" t="s">
        <v>7</v>
      </c>
      <c r="D5" s="4" t="s">
        <v>8</v>
      </c>
    </row>
    <row r="6" spans="2:4">
      <c r="B6" s="8" t="str">
        <f t="shared" ref="B6:B19" si="0">IF(C6="","","・")</f>
        <v>・</v>
      </c>
      <c r="C6" s="9" t="s">
        <v>9</v>
      </c>
      <c r="D6" s="2" t="s">
        <v>10</v>
      </c>
    </row>
    <row r="7" spans="2:4">
      <c r="B7" s="8" t="str">
        <f t="shared" si="0"/>
        <v>・</v>
      </c>
      <c r="C7" s="9" t="s">
        <v>11</v>
      </c>
      <c r="D7" s="2" t="s">
        <v>12</v>
      </c>
    </row>
    <row r="8" spans="2:4">
      <c r="B8" s="8" t="str">
        <f t="shared" si="0"/>
        <v>・</v>
      </c>
      <c r="C8" s="9" t="s">
        <v>1</v>
      </c>
      <c r="D8" s="2" t="s">
        <v>13</v>
      </c>
    </row>
    <row r="9" spans="2:4">
      <c r="B9" s="8" t="str">
        <f t="shared" si="0"/>
        <v>・</v>
      </c>
      <c r="C9" s="7" t="s">
        <v>14</v>
      </c>
      <c r="D9" s="2" t="s">
        <v>15</v>
      </c>
    </row>
    <row r="10" spans="2:4">
      <c r="B10" s="8" t="str">
        <f t="shared" si="0"/>
        <v>・</v>
      </c>
      <c r="C10" s="9" t="s">
        <v>16</v>
      </c>
      <c r="D10" s="2" t="s">
        <v>17</v>
      </c>
    </row>
    <row r="11" spans="2:4">
      <c r="B11" s="8" t="str">
        <f t="shared" si="0"/>
        <v>・</v>
      </c>
      <c r="C11" s="7" t="s">
        <v>18</v>
      </c>
      <c r="D11" s="2" t="s">
        <v>19</v>
      </c>
    </row>
    <row r="12" spans="2:4">
      <c r="B12" s="8" t="str">
        <f t="shared" si="0"/>
        <v>・</v>
      </c>
      <c r="C12" s="7" t="s">
        <v>20</v>
      </c>
      <c r="D12" s="2" t="s">
        <v>21</v>
      </c>
    </row>
    <row r="13" spans="2:4">
      <c r="B13" s="8" t="str">
        <f t="shared" si="0"/>
        <v>・</v>
      </c>
      <c r="C13" s="7" t="s">
        <v>22</v>
      </c>
      <c r="D13" s="2" t="s">
        <v>23</v>
      </c>
    </row>
    <row r="14" spans="2:4">
      <c r="B14" s="8" t="str">
        <f t="shared" si="0"/>
        <v>・</v>
      </c>
      <c r="C14" s="7" t="s">
        <v>24</v>
      </c>
      <c r="D14" s="2" t="s">
        <v>25</v>
      </c>
    </row>
    <row r="15" spans="2:4">
      <c r="B15" s="8" t="str">
        <f t="shared" si="0"/>
        <v/>
      </c>
      <c r="C15" s="7"/>
      <c r="D15" s="2"/>
    </row>
    <row r="16" spans="2:4">
      <c r="B16" s="8" t="s">
        <v>2</v>
      </c>
      <c r="C16" s="9" t="s">
        <v>26</v>
      </c>
      <c r="D16" s="2" t="s">
        <v>27</v>
      </c>
    </row>
    <row r="17" spans="2:4">
      <c r="B17" s="8" t="s">
        <v>2</v>
      </c>
      <c r="C17" s="9" t="s">
        <v>28</v>
      </c>
      <c r="D17" s="2" t="s">
        <v>29</v>
      </c>
    </row>
    <row r="18" spans="2:4">
      <c r="B18" s="8" t="str">
        <f t="shared" si="0"/>
        <v/>
      </c>
      <c r="C18" s="7"/>
      <c r="D18" s="2"/>
    </row>
    <row r="19" spans="2:4" ht="18.600000000000001" thickBot="1">
      <c r="B19" s="8" t="str">
        <f t="shared" si="0"/>
        <v/>
      </c>
      <c r="C19" s="7"/>
      <c r="D19" s="3"/>
    </row>
  </sheetData>
  <mergeCells count="1">
    <mergeCell ref="B3:C3"/>
  </mergeCells>
  <phoneticPr fontId="2"/>
  <hyperlinks>
    <hyperlink ref="C5" location="設定仕様!A1" display="設定仕様" xr:uid="{00000000-0004-0000-0000-000000000000}"/>
    <hyperlink ref="C6" location="基本ルール!A1" display="基本ルール" xr:uid="{00000000-0004-0000-0000-000001000000}"/>
    <hyperlink ref="C4" location="基本情報!A1" display="基本情報" xr:uid="{00000000-0004-0000-0000-000002000000}"/>
    <hyperlink ref="C7" location="全体フロー!A1" display="全体フロー" xr:uid="{00000000-0004-0000-0000-000003000000}"/>
    <hyperlink ref="C8" location="画面一覧!A1" display="画面一覧" xr:uid="{00000000-0004-0000-0000-000004000000}"/>
    <hyperlink ref="C16" location="スプライト一覧!A1" display="スプライト一覧" xr:uid="{00000000-0004-0000-0000-000005000000}"/>
    <hyperlink ref="C10" location="グラフィック一覧!A1" display="グラフィック一覧" xr:uid="{00000000-0004-0000-0000-000006000000}"/>
    <hyperlink ref="C17" location="エラー履歴!A1" display="デバッグリスト" xr:uid="{00000000-0004-0000-0000-000007000000}"/>
  </hyperlink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zoomScaleNormal="100" workbookViewId="0">
      <selection activeCell="C3" sqref="C3"/>
    </sheetView>
  </sheetViews>
  <sheetFormatPr defaultRowHeight="18"/>
  <cols>
    <col min="1" max="1" width="5.19921875" bestFit="1" customWidth="1"/>
    <col min="2" max="2" width="19.19921875" style="74" bestFit="1" customWidth="1"/>
    <col min="3" max="3" width="48.3984375" bestFit="1" customWidth="1"/>
  </cols>
  <sheetData>
    <row r="1" spans="1:3" s="14" customFormat="1">
      <c r="A1" s="53" t="s">
        <v>0</v>
      </c>
      <c r="B1" s="99" t="s">
        <v>30</v>
      </c>
    </row>
    <row r="3" spans="1:3">
      <c r="B3" s="100" t="s">
        <v>31</v>
      </c>
      <c r="C3" s="1"/>
    </row>
    <row r="5" spans="1:3">
      <c r="B5" s="100" t="s">
        <v>32</v>
      </c>
      <c r="C5" s="98"/>
    </row>
    <row r="7" spans="1:3">
      <c r="B7" s="100" t="s">
        <v>33</v>
      </c>
      <c r="C7" s="98"/>
    </row>
    <row r="9" spans="1:3">
      <c r="B9" s="105" t="s">
        <v>34</v>
      </c>
      <c r="C9" s="104"/>
    </row>
  </sheetData>
  <phoneticPr fontId="2"/>
  <hyperlinks>
    <hyperlink ref="A1" location="目次!C4" display="目次" xr:uid="{00000000-0004-0000-01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"/>
  <sheetViews>
    <sheetView workbookViewId="0">
      <selection activeCell="B4" sqref="B4:D4"/>
    </sheetView>
  </sheetViews>
  <sheetFormatPr defaultColWidth="9" defaultRowHeight="18"/>
  <cols>
    <col min="1" max="1" width="5.19921875" style="15" bestFit="1" customWidth="1"/>
    <col min="2" max="2" width="17.19921875" style="15" bestFit="1" customWidth="1"/>
    <col min="3" max="4" width="14.59765625" style="15" customWidth="1"/>
    <col min="5" max="5" width="10" style="15" bestFit="1" customWidth="1"/>
    <col min="6" max="16384" width="9" style="15"/>
  </cols>
  <sheetData>
    <row r="1" spans="1:14" s="14" customFormat="1">
      <c r="A1" s="53" t="s">
        <v>0</v>
      </c>
      <c r="B1" s="14" t="s">
        <v>35</v>
      </c>
    </row>
    <row r="3" spans="1:14">
      <c r="B3" s="124" t="s">
        <v>36</v>
      </c>
      <c r="C3" s="124"/>
      <c r="D3" s="124"/>
    </row>
    <row r="4" spans="1:14" ht="18.75" customHeight="1">
      <c r="B4" s="125"/>
      <c r="C4" s="126"/>
      <c r="D4" s="127"/>
    </row>
    <row r="6" spans="1:14">
      <c r="B6" s="124" t="s">
        <v>37</v>
      </c>
      <c r="C6" s="124"/>
      <c r="D6" s="124"/>
    </row>
    <row r="7" spans="1:14" ht="18.75" customHeight="1">
      <c r="B7" s="125"/>
      <c r="C7" s="126"/>
      <c r="D7" s="127"/>
      <c r="J7"/>
      <c r="K7"/>
      <c r="L7"/>
      <c r="M7"/>
      <c r="N7"/>
    </row>
    <row r="8" spans="1:14" ht="18.75" customHeight="1">
      <c r="J8"/>
      <c r="K8"/>
      <c r="L8"/>
      <c r="M8"/>
      <c r="N8"/>
    </row>
    <row r="9" spans="1:14">
      <c r="J9"/>
      <c r="K9"/>
      <c r="L9"/>
      <c r="M9"/>
      <c r="N9"/>
    </row>
    <row r="10" spans="1:14" ht="18.75" customHeight="1">
      <c r="B10" s="134" t="s">
        <v>38</v>
      </c>
      <c r="C10" s="135"/>
      <c r="D10" s="135"/>
      <c r="E10" s="136"/>
      <c r="H10" s="108"/>
      <c r="I10" s="108"/>
      <c r="J10" s="108"/>
      <c r="K10" s="108"/>
    </row>
    <row r="11" spans="1:14">
      <c r="B11" s="144"/>
      <c r="C11" s="117"/>
      <c r="D11" s="139"/>
      <c r="E11" s="140"/>
      <c r="F11" s="76"/>
      <c r="G11" s="76"/>
      <c r="H11" s="6"/>
      <c r="I11" s="6"/>
      <c r="J11" s="76"/>
      <c r="K11" s="76"/>
      <c r="N11"/>
    </row>
    <row r="12" spans="1:14" ht="18.75" customHeight="1">
      <c r="B12" s="145"/>
      <c r="C12" s="19"/>
      <c r="D12" s="137"/>
      <c r="E12" s="138"/>
      <c r="F12" s="76"/>
      <c r="G12" s="76"/>
      <c r="H12" s="6"/>
      <c r="I12" s="6"/>
      <c r="J12" s="76"/>
      <c r="K12" s="76"/>
      <c r="N12"/>
    </row>
    <row r="13" spans="1:14">
      <c r="B13" s="145"/>
      <c r="C13" s="19"/>
      <c r="D13" s="137"/>
      <c r="E13" s="138"/>
      <c r="F13" s="76"/>
      <c r="G13" s="76"/>
      <c r="H13" s="6"/>
      <c r="I13" s="6"/>
      <c r="J13" s="76"/>
      <c r="K13" s="76"/>
      <c r="N13"/>
    </row>
    <row r="14" spans="1:14" ht="18.75" customHeight="1">
      <c r="B14" s="145"/>
      <c r="C14" s="19"/>
      <c r="D14" s="125"/>
      <c r="E14" s="127"/>
      <c r="F14" s="76"/>
      <c r="G14" s="76"/>
      <c r="H14" s="6"/>
      <c r="I14" s="6"/>
      <c r="J14" s="76"/>
      <c r="K14" s="76"/>
      <c r="N14"/>
    </row>
    <row r="15" spans="1:14" ht="18.75" customHeight="1">
      <c r="B15" s="145"/>
      <c r="C15" s="19"/>
      <c r="D15" s="139"/>
      <c r="E15" s="140"/>
      <c r="F15" s="76"/>
      <c r="G15" s="76"/>
      <c r="H15" s="6"/>
      <c r="I15" s="6"/>
      <c r="J15" s="76"/>
      <c r="K15" s="76"/>
      <c r="N15"/>
    </row>
    <row r="16" spans="1:14" ht="18.75" customHeight="1">
      <c r="B16" s="145"/>
      <c r="C16" s="19"/>
      <c r="D16" s="137"/>
      <c r="E16" s="138"/>
      <c r="F16" s="76"/>
      <c r="G16" s="76"/>
      <c r="L16"/>
      <c r="M16"/>
      <c r="N16"/>
    </row>
    <row r="17" spans="2:14" ht="18.75" customHeight="1">
      <c r="B17" s="145"/>
      <c r="C17" s="19"/>
      <c r="D17" s="137"/>
      <c r="E17" s="138"/>
      <c r="F17" s="76"/>
      <c r="G17" s="76"/>
      <c r="L17"/>
      <c r="M17"/>
      <c r="N17"/>
    </row>
    <row r="18" spans="2:14" ht="18.75" customHeight="1">
      <c r="B18" s="145"/>
      <c r="C18" s="19"/>
      <c r="D18" s="125"/>
      <c r="E18" s="127"/>
      <c r="F18" s="76"/>
      <c r="G18" s="76"/>
      <c r="N18"/>
    </row>
    <row r="19" spans="2:14" ht="18.75" customHeight="1">
      <c r="B19" s="145"/>
      <c r="C19" s="19"/>
      <c r="D19" s="132"/>
      <c r="E19" s="133"/>
      <c r="F19" s="76"/>
      <c r="G19" s="76"/>
    </row>
    <row r="20" spans="2:14">
      <c r="B20" s="145"/>
      <c r="C20" s="19"/>
      <c r="D20" s="130"/>
      <c r="E20" s="131"/>
      <c r="F20" s="76"/>
      <c r="G20" s="76"/>
    </row>
    <row r="21" spans="2:14">
      <c r="B21" s="145"/>
      <c r="C21" s="118"/>
      <c r="D21" s="128"/>
      <c r="E21" s="129"/>
      <c r="F21" s="76"/>
      <c r="G21" s="76"/>
    </row>
    <row r="22" spans="2:14">
      <c r="B22" s="145"/>
      <c r="C22" s="107"/>
      <c r="D22" s="137"/>
      <c r="E22" s="138"/>
    </row>
    <row r="23" spans="2:14" ht="18.75" customHeight="1">
      <c r="B23" s="145"/>
      <c r="C23" s="119"/>
      <c r="D23" s="142"/>
      <c r="E23" s="143"/>
    </row>
    <row r="24" spans="2:14">
      <c r="B24" s="146"/>
      <c r="C24" s="120"/>
      <c r="D24" s="147"/>
      <c r="E24" s="148"/>
    </row>
    <row r="25" spans="2:14" ht="18.75" customHeight="1">
      <c r="B25" s="106"/>
      <c r="C25" s="106"/>
      <c r="D25" s="106"/>
    </row>
    <row r="26" spans="2:14">
      <c r="B26" s="141" t="s">
        <v>39</v>
      </c>
      <c r="C26" s="141"/>
      <c r="D26" s="141"/>
    </row>
    <row r="27" spans="2:14">
      <c r="B27" s="17" t="s">
        <v>40</v>
      </c>
      <c r="C27" s="19"/>
      <c r="D27" s="18"/>
    </row>
  </sheetData>
  <mergeCells count="21">
    <mergeCell ref="B26:D26"/>
    <mergeCell ref="D23:E23"/>
    <mergeCell ref="B11:B24"/>
    <mergeCell ref="D24:E24"/>
    <mergeCell ref="D13:E13"/>
    <mergeCell ref="D12:E12"/>
    <mergeCell ref="D11:E11"/>
    <mergeCell ref="D22:E22"/>
    <mergeCell ref="D18:E18"/>
    <mergeCell ref="D17:E17"/>
    <mergeCell ref="D16:E16"/>
    <mergeCell ref="D15:E15"/>
    <mergeCell ref="B3:D3"/>
    <mergeCell ref="B6:D6"/>
    <mergeCell ref="B4:D4"/>
    <mergeCell ref="B7:D7"/>
    <mergeCell ref="D21:E21"/>
    <mergeCell ref="D20:E20"/>
    <mergeCell ref="D19:E19"/>
    <mergeCell ref="B10:E10"/>
    <mergeCell ref="D14:E14"/>
  </mergeCells>
  <phoneticPr fontId="2"/>
  <hyperlinks>
    <hyperlink ref="A1" location="目次!C4" display="目次" xr:uid="{00000000-0004-0000-0200-000000000000}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5"/>
  <sheetViews>
    <sheetView zoomScaleNormal="100" workbookViewId="0">
      <selection activeCell="E43" sqref="E43"/>
    </sheetView>
  </sheetViews>
  <sheetFormatPr defaultRowHeight="18"/>
  <cols>
    <col min="1" max="1" width="5.19921875" bestFit="1" customWidth="1"/>
    <col min="2" max="2" width="3.5" style="6" bestFit="1" customWidth="1"/>
    <col min="3" max="3" width="31.69921875" bestFit="1" customWidth="1"/>
    <col min="4" max="4" width="131.59765625" bestFit="1" customWidth="1"/>
    <col min="5" max="5" width="88.09765625" bestFit="1" customWidth="1"/>
  </cols>
  <sheetData>
    <row r="1" spans="1:5" s="12" customFormat="1">
      <c r="A1" s="52" t="s">
        <v>0</v>
      </c>
      <c r="B1" s="11"/>
      <c r="C1" s="12" t="s">
        <v>9</v>
      </c>
    </row>
    <row r="2" spans="1:5" ht="18.600000000000001" thickBot="1"/>
    <row r="3" spans="1:5" ht="18.600000000000001" thickBot="1">
      <c r="C3" s="149" t="s">
        <v>41</v>
      </c>
      <c r="D3" s="150"/>
      <c r="E3" s="151"/>
    </row>
    <row r="4" spans="1:5">
      <c r="B4" s="6">
        <v>1</v>
      </c>
      <c r="C4" s="10"/>
      <c r="D4" s="10"/>
      <c r="E4" s="10"/>
    </row>
    <row r="5" spans="1:5">
      <c r="B5" s="6">
        <v>2</v>
      </c>
      <c r="C5" s="1"/>
      <c r="D5" s="1"/>
      <c r="E5" s="1"/>
    </row>
    <row r="6" spans="1:5">
      <c r="C6" s="1"/>
      <c r="D6" s="1"/>
      <c r="E6" s="1"/>
    </row>
    <row r="8" spans="1:5">
      <c r="C8" s="149" t="s">
        <v>42</v>
      </c>
      <c r="D8" s="152"/>
      <c r="E8" s="153"/>
    </row>
    <row r="9" spans="1:5">
      <c r="B9" s="6">
        <v>1</v>
      </c>
      <c r="C9" s="113"/>
      <c r="D9" s="115"/>
      <c r="E9" s="111"/>
    </row>
    <row r="10" spans="1:5">
      <c r="C10" s="114"/>
      <c r="D10" s="116"/>
      <c r="E10" s="112"/>
    </row>
    <row r="12" spans="1:5" ht="19.5" customHeight="1">
      <c r="C12" s="110"/>
      <c r="D12" s="110"/>
      <c r="E12" s="109"/>
    </row>
    <row r="17" spans="2:5">
      <c r="C17" s="154" t="s">
        <v>43</v>
      </c>
      <c r="D17" s="155"/>
      <c r="E17" s="156"/>
    </row>
    <row r="18" spans="2:5">
      <c r="B18" s="6">
        <v>1</v>
      </c>
      <c r="C18" s="10"/>
      <c r="D18" s="10"/>
      <c r="E18" s="10"/>
    </row>
    <row r="19" spans="2:5">
      <c r="B19" s="6">
        <v>2</v>
      </c>
      <c r="C19" s="1"/>
      <c r="D19" s="1"/>
      <c r="E19" s="1"/>
    </row>
    <row r="20" spans="2:5">
      <c r="B20" s="6">
        <v>3</v>
      </c>
      <c r="C20" s="1"/>
      <c r="D20" s="1"/>
      <c r="E20" s="1"/>
    </row>
    <row r="21" spans="2:5">
      <c r="B21" s="6">
        <v>4</v>
      </c>
      <c r="C21" s="1"/>
      <c r="D21" s="1"/>
      <c r="E21" s="1"/>
    </row>
    <row r="22" spans="2:5">
      <c r="B22" s="6">
        <v>5</v>
      </c>
      <c r="C22" s="1"/>
      <c r="D22" s="1"/>
      <c r="E22" s="1"/>
    </row>
    <row r="23" spans="2:5">
      <c r="B23" s="6">
        <v>6</v>
      </c>
      <c r="C23" s="1"/>
      <c r="D23" s="1"/>
      <c r="E23" s="1"/>
    </row>
    <row r="24" spans="2:5">
      <c r="B24" s="6">
        <v>7</v>
      </c>
      <c r="C24" s="1"/>
      <c r="D24" s="1"/>
      <c r="E24" s="1"/>
    </row>
    <row r="25" spans="2:5">
      <c r="B25" s="6">
        <v>8</v>
      </c>
      <c r="C25" s="1"/>
      <c r="D25" s="1"/>
      <c r="E25" s="1"/>
    </row>
    <row r="26" spans="2:5">
      <c r="B26" s="6">
        <v>9</v>
      </c>
      <c r="C26" s="1"/>
      <c r="D26" s="1"/>
      <c r="E26" s="1"/>
    </row>
    <row r="27" spans="2:5">
      <c r="B27" s="6">
        <v>10</v>
      </c>
      <c r="C27" s="1"/>
      <c r="D27" s="1"/>
      <c r="E27" s="1"/>
    </row>
    <row r="28" spans="2:5">
      <c r="B28" s="6">
        <v>11</v>
      </c>
      <c r="C28" s="1"/>
      <c r="D28" s="1"/>
      <c r="E28" s="1"/>
    </row>
    <row r="29" spans="2:5">
      <c r="B29" s="6">
        <v>12</v>
      </c>
      <c r="C29" s="1"/>
      <c r="D29" s="1"/>
      <c r="E29" s="1"/>
    </row>
    <row r="30" spans="2:5">
      <c r="B30" s="6">
        <v>13</v>
      </c>
      <c r="C30" s="1"/>
      <c r="D30" s="1"/>
      <c r="E30" s="1"/>
    </row>
    <row r="31" spans="2:5">
      <c r="B31" s="6">
        <v>14</v>
      </c>
      <c r="C31" s="1"/>
      <c r="D31" s="1"/>
      <c r="E31" s="1"/>
    </row>
    <row r="32" spans="2:5">
      <c r="B32" s="6">
        <v>15</v>
      </c>
      <c r="C32" s="1"/>
      <c r="D32" s="1"/>
      <c r="E32" s="1"/>
    </row>
    <row r="33" spans="2:5">
      <c r="B33" s="6">
        <v>16</v>
      </c>
      <c r="C33" s="1"/>
      <c r="D33" s="1"/>
      <c r="E33" s="1"/>
    </row>
    <row r="34" spans="2:5">
      <c r="B34" s="6">
        <v>17</v>
      </c>
      <c r="C34" s="1"/>
      <c r="D34" s="1"/>
      <c r="E34" s="1"/>
    </row>
    <row r="35" spans="2:5">
      <c r="B35" s="6">
        <v>18</v>
      </c>
      <c r="C35" s="1"/>
      <c r="D35" s="1"/>
      <c r="E35" s="1"/>
    </row>
    <row r="36" spans="2:5">
      <c r="B36" s="6">
        <v>19</v>
      </c>
      <c r="C36" s="1"/>
      <c r="D36" s="1"/>
      <c r="E36" s="1"/>
    </row>
    <row r="37" spans="2:5">
      <c r="B37" s="6">
        <v>20</v>
      </c>
      <c r="C37" s="1"/>
      <c r="D37" s="1"/>
      <c r="E37" s="1"/>
    </row>
    <row r="38" spans="2:5">
      <c r="B38" s="6">
        <v>21</v>
      </c>
      <c r="C38" s="1"/>
      <c r="D38" s="1"/>
      <c r="E38" s="1"/>
    </row>
    <row r="39" spans="2:5">
      <c r="B39" s="6">
        <v>22</v>
      </c>
      <c r="C39" s="1"/>
      <c r="D39" s="1"/>
      <c r="E39" s="1"/>
    </row>
    <row r="40" spans="2:5">
      <c r="B40" s="6">
        <v>23</v>
      </c>
      <c r="C40" s="1"/>
      <c r="D40" s="1"/>
      <c r="E40" s="1"/>
    </row>
    <row r="41" spans="2:5">
      <c r="B41" s="6">
        <v>24</v>
      </c>
      <c r="C41" s="1"/>
      <c r="D41" s="1"/>
      <c r="E41" s="1"/>
    </row>
    <row r="42" spans="2:5">
      <c r="B42" s="6">
        <v>25</v>
      </c>
      <c r="C42" s="1"/>
      <c r="D42" s="1"/>
      <c r="E42" s="1"/>
    </row>
    <row r="43" spans="2:5">
      <c r="B43" s="6">
        <v>26</v>
      </c>
      <c r="C43" s="1"/>
      <c r="D43" s="1"/>
      <c r="E43" s="1"/>
    </row>
    <row r="44" spans="2:5">
      <c r="B44" s="6">
        <v>27</v>
      </c>
      <c r="C44" s="1"/>
      <c r="D44" s="1"/>
      <c r="E44" s="1"/>
    </row>
    <row r="45" spans="2:5">
      <c r="B45" s="6">
        <v>28</v>
      </c>
      <c r="C45" s="1"/>
      <c r="D45" s="1"/>
      <c r="E45" s="1"/>
    </row>
    <row r="46" spans="2:5">
      <c r="B46" s="6">
        <v>29</v>
      </c>
      <c r="C46" s="1"/>
      <c r="D46" s="1"/>
      <c r="E46" s="1"/>
    </row>
    <row r="47" spans="2:5">
      <c r="B47" s="6">
        <v>30</v>
      </c>
      <c r="C47" s="1"/>
      <c r="D47" s="1"/>
      <c r="E47" s="1"/>
    </row>
    <row r="48" spans="2:5">
      <c r="B48" s="6">
        <v>31</v>
      </c>
      <c r="C48" s="1"/>
      <c r="D48" s="1"/>
      <c r="E48" s="1"/>
    </row>
    <row r="49" spans="2:5">
      <c r="B49" s="6">
        <v>32</v>
      </c>
      <c r="C49" s="1"/>
      <c r="D49" s="1"/>
      <c r="E49" s="1"/>
    </row>
    <row r="50" spans="2:5">
      <c r="B50" s="6">
        <v>33</v>
      </c>
      <c r="C50" s="1"/>
      <c r="D50" s="1"/>
      <c r="E50" s="1"/>
    </row>
    <row r="51" spans="2:5">
      <c r="B51" s="6">
        <v>34</v>
      </c>
      <c r="C51" s="1"/>
      <c r="D51" s="1"/>
      <c r="E51" s="1"/>
    </row>
    <row r="52" spans="2:5">
      <c r="B52" s="6">
        <v>35</v>
      </c>
      <c r="C52" s="1"/>
      <c r="D52" s="1"/>
      <c r="E52" s="1"/>
    </row>
    <row r="53" spans="2:5">
      <c r="B53" s="6">
        <v>36</v>
      </c>
      <c r="C53" s="1"/>
      <c r="D53" s="1"/>
      <c r="E53" s="1"/>
    </row>
    <row r="54" spans="2:5">
      <c r="B54" s="6">
        <v>37</v>
      </c>
      <c r="C54" s="1"/>
      <c r="D54" s="1"/>
      <c r="E54" s="1"/>
    </row>
    <row r="55" spans="2:5">
      <c r="B55" s="6">
        <v>38</v>
      </c>
      <c r="C55" s="1"/>
      <c r="D55" s="1"/>
      <c r="E55" s="1"/>
    </row>
    <row r="56" spans="2:5">
      <c r="B56" s="6">
        <v>39</v>
      </c>
      <c r="C56" s="1"/>
      <c r="D56" s="1"/>
      <c r="E56" s="1"/>
    </row>
    <row r="57" spans="2:5">
      <c r="B57" s="6">
        <v>40</v>
      </c>
      <c r="C57" s="1"/>
      <c r="D57" s="1"/>
      <c r="E57" s="1"/>
    </row>
    <row r="58" spans="2:5">
      <c r="B58" s="6">
        <v>41</v>
      </c>
      <c r="C58" s="1"/>
      <c r="D58" s="1"/>
      <c r="E58" s="1"/>
    </row>
    <row r="59" spans="2:5">
      <c r="B59" s="6">
        <v>42</v>
      </c>
      <c r="C59" s="1"/>
      <c r="D59" s="1"/>
      <c r="E59" s="1"/>
    </row>
    <row r="60" spans="2:5">
      <c r="B60" s="6">
        <v>43</v>
      </c>
      <c r="C60" s="1"/>
      <c r="D60" s="1"/>
      <c r="E60" s="1"/>
    </row>
    <row r="61" spans="2:5">
      <c r="B61" s="6">
        <v>44</v>
      </c>
      <c r="C61" s="1"/>
      <c r="D61" s="1"/>
      <c r="E61" s="1"/>
    </row>
    <row r="62" spans="2:5">
      <c r="B62" s="6">
        <v>45</v>
      </c>
      <c r="C62" s="1"/>
      <c r="D62" s="1"/>
      <c r="E62" s="1"/>
    </row>
    <row r="63" spans="2:5">
      <c r="B63" s="6">
        <v>46</v>
      </c>
      <c r="C63" s="1"/>
      <c r="D63" s="1"/>
      <c r="E63" s="1"/>
    </row>
    <row r="64" spans="2:5">
      <c r="B64" s="6">
        <v>47</v>
      </c>
      <c r="C64" s="1"/>
      <c r="D64" s="1"/>
      <c r="E64" s="1"/>
    </row>
    <row r="65" spans="2:5">
      <c r="B65" s="6">
        <v>48</v>
      </c>
      <c r="C65" s="1"/>
      <c r="D65" s="1"/>
      <c r="E65" s="1"/>
    </row>
    <row r="66" spans="2:5">
      <c r="B66" s="6">
        <v>49</v>
      </c>
      <c r="C66" s="1"/>
      <c r="D66" s="1"/>
      <c r="E66" s="1"/>
    </row>
    <row r="67" spans="2:5">
      <c r="B67" s="6">
        <v>50</v>
      </c>
      <c r="C67" s="1"/>
      <c r="D67" s="1"/>
      <c r="E67" s="1"/>
    </row>
    <row r="68" spans="2:5">
      <c r="B68" s="6">
        <v>51</v>
      </c>
      <c r="C68" s="1"/>
      <c r="D68" s="1"/>
      <c r="E68" s="1"/>
    </row>
    <row r="69" spans="2:5">
      <c r="B69" s="6">
        <v>52</v>
      </c>
      <c r="C69" s="1"/>
      <c r="D69" s="1"/>
      <c r="E69" s="1"/>
    </row>
    <row r="70" spans="2:5">
      <c r="C70" s="1"/>
      <c r="D70" s="1"/>
      <c r="E70" s="1"/>
    </row>
    <row r="71" spans="2:5">
      <c r="C71" s="1"/>
      <c r="D71" s="1"/>
      <c r="E71" s="1"/>
    </row>
    <row r="72" spans="2:5">
      <c r="C72" s="1"/>
      <c r="D72" s="1"/>
      <c r="E72" s="1"/>
    </row>
    <row r="73" spans="2:5">
      <c r="C73" s="1"/>
      <c r="D73" s="1"/>
      <c r="E73" s="1"/>
    </row>
    <row r="74" spans="2:5">
      <c r="C74" s="1"/>
      <c r="D74" s="1"/>
      <c r="E74" s="1"/>
    </row>
    <row r="75" spans="2:5">
      <c r="C75" s="1"/>
      <c r="D75" s="1"/>
      <c r="E75" s="1"/>
    </row>
  </sheetData>
  <mergeCells count="3">
    <mergeCell ref="C3:E3"/>
    <mergeCell ref="C8:E8"/>
    <mergeCell ref="C17:E17"/>
  </mergeCells>
  <phoneticPr fontId="2"/>
  <hyperlinks>
    <hyperlink ref="A1" location="目次!C5" display="目次" xr:uid="{00000000-0004-0000-0300-000000000000}"/>
    <hyperlink ref="C17:E17" location="全体フロー!A1" display="▼ゲームの流れ" xr:uid="{00000000-0004-0000-0300-000001000000}"/>
  </hyperlink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49"/>
  <sheetViews>
    <sheetView topLeftCell="A2" workbookViewId="0">
      <selection activeCell="M3" sqref="M3:Q5"/>
    </sheetView>
  </sheetViews>
  <sheetFormatPr defaultColWidth="3.09765625" defaultRowHeight="18"/>
  <cols>
    <col min="1" max="1" width="5.19921875" bestFit="1" customWidth="1"/>
  </cols>
  <sheetData>
    <row r="1" spans="1:27" s="12" customFormat="1">
      <c r="A1" s="52" t="s">
        <v>0</v>
      </c>
      <c r="C1" s="167" t="s">
        <v>11</v>
      </c>
      <c r="D1" s="167"/>
      <c r="E1" s="167"/>
      <c r="F1" s="167"/>
    </row>
    <row r="3" spans="1:27">
      <c r="M3" s="161" t="s">
        <v>44</v>
      </c>
      <c r="N3" s="161"/>
      <c r="O3" s="161"/>
      <c r="P3" s="161"/>
      <c r="Q3" s="161"/>
    </row>
    <row r="4" spans="1:27">
      <c r="M4" s="161"/>
      <c r="N4" s="161"/>
      <c r="O4" s="161"/>
      <c r="P4" s="161"/>
      <c r="Q4" s="161"/>
    </row>
    <row r="5" spans="1:27">
      <c r="M5" s="161"/>
      <c r="N5" s="161"/>
      <c r="O5" s="161"/>
      <c r="P5" s="161"/>
      <c r="Q5" s="161"/>
    </row>
    <row r="8" spans="1:27" ht="18.600000000000001" thickBot="1">
      <c r="L8">
        <v>0</v>
      </c>
      <c r="V8">
        <v>1</v>
      </c>
    </row>
    <row r="9" spans="1:27">
      <c r="M9" s="168" t="s">
        <v>45</v>
      </c>
      <c r="N9" s="169"/>
      <c r="O9" s="169"/>
      <c r="P9" s="169"/>
      <c r="Q9" s="170"/>
      <c r="R9" t="s">
        <v>46</v>
      </c>
      <c r="W9" s="166" t="s">
        <v>47</v>
      </c>
      <c r="X9" s="158"/>
      <c r="Y9" s="158"/>
      <c r="Z9" s="158"/>
      <c r="AA9" s="159"/>
    </row>
    <row r="10" spans="1:27">
      <c r="M10" s="171"/>
      <c r="N10" s="172"/>
      <c r="O10" s="172"/>
      <c r="P10" s="172"/>
      <c r="Q10" s="173"/>
      <c r="W10" s="160"/>
      <c r="X10" s="161"/>
      <c r="Y10" s="161"/>
      <c r="Z10" s="161"/>
      <c r="AA10" s="162"/>
    </row>
    <row r="11" spans="1:27" ht="18.600000000000001" thickBot="1">
      <c r="M11" s="174"/>
      <c r="N11" s="175"/>
      <c r="O11" s="175"/>
      <c r="P11" s="175"/>
      <c r="Q11" s="176"/>
      <c r="T11" t="s">
        <v>48</v>
      </c>
      <c r="W11" s="163"/>
      <c r="X11" s="164"/>
      <c r="Y11" s="164"/>
      <c r="Z11" s="164"/>
      <c r="AA11" s="165"/>
    </row>
    <row r="12" spans="1:27">
      <c r="K12" t="s">
        <v>49</v>
      </c>
      <c r="P12" t="s">
        <v>50</v>
      </c>
    </row>
    <row r="14" spans="1:27" ht="18.600000000000001" thickBot="1">
      <c r="L14">
        <v>2</v>
      </c>
      <c r="V14">
        <v>5</v>
      </c>
    </row>
    <row r="15" spans="1:27">
      <c r="M15" s="166" t="s">
        <v>51</v>
      </c>
      <c r="N15" s="158"/>
      <c r="O15" s="158"/>
      <c r="P15" s="158"/>
      <c r="Q15" s="159"/>
      <c r="W15" s="157" t="s">
        <v>52</v>
      </c>
      <c r="X15" s="158"/>
      <c r="Y15" s="158"/>
      <c r="Z15" s="158"/>
      <c r="AA15" s="159"/>
    </row>
    <row r="16" spans="1:27">
      <c r="M16" s="160"/>
      <c r="N16" s="161"/>
      <c r="O16" s="161"/>
      <c r="P16" s="161"/>
      <c r="Q16" s="162"/>
      <c r="W16" s="160"/>
      <c r="X16" s="161"/>
      <c r="Y16" s="161"/>
      <c r="Z16" s="161"/>
      <c r="AA16" s="162"/>
    </row>
    <row r="17" spans="11:27" ht="18.600000000000001" thickBot="1">
      <c r="M17" s="163"/>
      <c r="N17" s="164"/>
      <c r="O17" s="164"/>
      <c r="P17" s="164"/>
      <c r="Q17" s="165"/>
      <c r="W17" s="163"/>
      <c r="X17" s="164"/>
      <c r="Y17" s="164"/>
      <c r="Z17" s="164"/>
      <c r="AA17" s="165"/>
    </row>
    <row r="18" spans="11:27">
      <c r="K18" t="s">
        <v>53</v>
      </c>
      <c r="U18" t="s">
        <v>54</v>
      </c>
    </row>
    <row r="19" spans="11:27">
      <c r="K19" t="s">
        <v>55</v>
      </c>
    </row>
    <row r="20" spans="11:27" ht="18.600000000000001" thickBot="1">
      <c r="L20">
        <v>3</v>
      </c>
    </row>
    <row r="21" spans="11:27">
      <c r="M21" s="168" t="s">
        <v>56</v>
      </c>
      <c r="N21" s="169"/>
      <c r="O21" s="169"/>
      <c r="P21" s="169"/>
      <c r="Q21" s="170"/>
    </row>
    <row r="22" spans="11:27">
      <c r="M22" s="171"/>
      <c r="N22" s="172"/>
      <c r="O22" s="172"/>
      <c r="P22" s="172"/>
      <c r="Q22" s="173"/>
    </row>
    <row r="23" spans="11:27" ht="18.600000000000001" thickBot="1">
      <c r="M23" s="174"/>
      <c r="N23" s="175"/>
      <c r="O23" s="175"/>
      <c r="P23" s="175"/>
      <c r="Q23" s="176"/>
    </row>
    <row r="24" spans="11:27">
      <c r="K24" t="s">
        <v>53</v>
      </c>
    </row>
    <row r="25" spans="11:27">
      <c r="K25" t="s">
        <v>57</v>
      </c>
    </row>
    <row r="26" spans="11:27" ht="18.600000000000001" thickBot="1">
      <c r="L26">
        <v>4</v>
      </c>
    </row>
    <row r="27" spans="11:27">
      <c r="M27" s="166" t="s">
        <v>58</v>
      </c>
      <c r="N27" s="158"/>
      <c r="O27" s="158"/>
      <c r="P27" s="158"/>
      <c r="Q27" s="159"/>
    </row>
    <row r="28" spans="11:27">
      <c r="M28" s="160"/>
      <c r="N28" s="161"/>
      <c r="O28" s="161"/>
      <c r="P28" s="161"/>
      <c r="Q28" s="162"/>
    </row>
    <row r="29" spans="11:27" ht="18.600000000000001" thickBot="1">
      <c r="M29" s="163"/>
      <c r="N29" s="164"/>
      <c r="O29" s="164"/>
      <c r="P29" s="164"/>
      <c r="Q29" s="165"/>
    </row>
    <row r="30" spans="11:27">
      <c r="L30" t="s">
        <v>54</v>
      </c>
    </row>
    <row r="32" spans="11:27">
      <c r="L32" t="s">
        <v>59</v>
      </c>
      <c r="R32" t="s">
        <v>60</v>
      </c>
    </row>
    <row r="33" spans="12:29">
      <c r="N33" t="s">
        <v>61</v>
      </c>
    </row>
    <row r="36" spans="12:29">
      <c r="Q36" t="s">
        <v>59</v>
      </c>
      <c r="X36" t="s">
        <v>60</v>
      </c>
    </row>
    <row r="37" spans="12:29">
      <c r="T37" t="s">
        <v>62</v>
      </c>
    </row>
    <row r="38" spans="12:29" ht="18.600000000000001" thickBot="1">
      <c r="L38">
        <v>7</v>
      </c>
      <c r="W38">
        <v>6</v>
      </c>
    </row>
    <row r="39" spans="12:29">
      <c r="M39" s="157" t="s">
        <v>63</v>
      </c>
      <c r="N39" s="158"/>
      <c r="O39" s="158"/>
      <c r="P39" s="158"/>
      <c r="Q39" s="159"/>
      <c r="X39" s="157" t="s">
        <v>64</v>
      </c>
      <c r="Y39" s="158"/>
      <c r="Z39" s="158"/>
      <c r="AA39" s="158"/>
      <c r="AB39" s="159"/>
    </row>
    <row r="40" spans="12:29">
      <c r="M40" s="160"/>
      <c r="N40" s="161"/>
      <c r="O40" s="161"/>
      <c r="P40" s="161"/>
      <c r="Q40" s="162"/>
      <c r="X40" s="160"/>
      <c r="Y40" s="161"/>
      <c r="Z40" s="161"/>
      <c r="AA40" s="161"/>
      <c r="AB40" s="162"/>
    </row>
    <row r="41" spans="12:29" ht="18.600000000000001" thickBot="1">
      <c r="M41" s="163"/>
      <c r="N41" s="164"/>
      <c r="O41" s="164"/>
      <c r="P41" s="164"/>
      <c r="Q41" s="165"/>
      <c r="X41" s="163"/>
      <c r="Y41" s="164"/>
      <c r="Z41" s="164"/>
      <c r="AA41" s="164"/>
      <c r="AB41" s="165"/>
    </row>
    <row r="42" spans="12:29">
      <c r="L42" t="s">
        <v>54</v>
      </c>
      <c r="W42" t="s">
        <v>54</v>
      </c>
    </row>
    <row r="43" spans="12:29">
      <c r="AC43" t="s">
        <v>59</v>
      </c>
    </row>
    <row r="44" spans="12:29">
      <c r="Y44" s="89" t="s">
        <v>65</v>
      </c>
    </row>
    <row r="45" spans="12:29" ht="18.600000000000001" thickBot="1"/>
    <row r="46" spans="12:29">
      <c r="R46" s="157" t="s">
        <v>66</v>
      </c>
      <c r="S46" s="158"/>
      <c r="T46" s="158"/>
      <c r="U46" s="158"/>
      <c r="V46" s="159"/>
    </row>
    <row r="47" spans="12:29">
      <c r="R47" s="160"/>
      <c r="S47" s="161"/>
      <c r="T47" s="161"/>
      <c r="U47" s="161"/>
      <c r="V47" s="162"/>
    </row>
    <row r="48" spans="12:29" ht="18.600000000000001" thickBot="1">
      <c r="R48" s="163"/>
      <c r="S48" s="164"/>
      <c r="T48" s="164"/>
      <c r="U48" s="164"/>
      <c r="V48" s="165"/>
    </row>
    <row r="49" spans="17:17">
      <c r="Q49" t="s">
        <v>54</v>
      </c>
    </row>
  </sheetData>
  <mergeCells count="11">
    <mergeCell ref="W9:AA11"/>
    <mergeCell ref="M21:Q23"/>
    <mergeCell ref="M3:Q5"/>
    <mergeCell ref="X39:AB41"/>
    <mergeCell ref="W15:AA17"/>
    <mergeCell ref="M39:Q41"/>
    <mergeCell ref="R46:V48"/>
    <mergeCell ref="M27:Q29"/>
    <mergeCell ref="C1:F1"/>
    <mergeCell ref="M9:Q11"/>
    <mergeCell ref="M15:Q17"/>
  </mergeCells>
  <phoneticPr fontId="2"/>
  <hyperlinks>
    <hyperlink ref="M9:Q11" location="タイトル画面!A1" display="タイトル画面" xr:uid="{00000000-0004-0000-0400-000000000000}"/>
    <hyperlink ref="A1" location="目次!A1" display="◀" xr:uid="{00000000-0004-0000-0400-000001000000}"/>
    <hyperlink ref="M21:Q23" location="メイン画面!A1" display="メイン画面" xr:uid="{00000000-0004-0000-0400-000002000000}"/>
  </hyperlinks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7"/>
  <sheetViews>
    <sheetView topLeftCell="A2" workbookViewId="0">
      <selection activeCell="D2" sqref="D2"/>
    </sheetView>
  </sheetViews>
  <sheetFormatPr defaultRowHeight="18"/>
  <cols>
    <col min="1" max="1" width="5.19921875" bestFit="1" customWidth="1"/>
    <col min="3" max="3" width="29.59765625" bestFit="1" customWidth="1"/>
    <col min="4" max="4" width="19.19921875" bestFit="1" customWidth="1"/>
  </cols>
  <sheetData>
    <row r="1" spans="1:4" s="12" customFormat="1">
      <c r="A1" s="52" t="s">
        <v>0</v>
      </c>
      <c r="C1" s="11" t="s">
        <v>67</v>
      </c>
    </row>
    <row r="3" spans="1:4">
      <c r="C3" s="75" t="s">
        <v>68</v>
      </c>
      <c r="D3" s="75"/>
    </row>
    <row r="4" spans="1:4">
      <c r="C4" s="1"/>
      <c r="D4" s="1"/>
    </row>
    <row r="5" spans="1:4">
      <c r="C5" s="1"/>
      <c r="D5" s="1"/>
    </row>
    <row r="6" spans="1:4">
      <c r="C6" s="1"/>
      <c r="D6" s="1"/>
    </row>
    <row r="7" spans="1:4">
      <c r="C7" s="1"/>
      <c r="D7" s="1"/>
    </row>
    <row r="8" spans="1:4">
      <c r="C8" s="1"/>
      <c r="D8" s="1"/>
    </row>
    <row r="9" spans="1:4">
      <c r="C9" s="1"/>
      <c r="D9" s="1"/>
    </row>
    <row r="10" spans="1:4">
      <c r="C10" s="1"/>
      <c r="D10" s="1"/>
    </row>
    <row r="11" spans="1:4">
      <c r="C11" s="1"/>
      <c r="D11" s="1"/>
    </row>
    <row r="12" spans="1:4">
      <c r="C12" s="1"/>
      <c r="D12" s="1"/>
    </row>
    <row r="13" spans="1:4">
      <c r="C13" s="1"/>
      <c r="D13" s="1"/>
    </row>
    <row r="14" spans="1:4">
      <c r="C14" s="1"/>
      <c r="D14" s="1"/>
    </row>
    <row r="15" spans="1:4">
      <c r="C15" s="1"/>
      <c r="D15" s="1"/>
    </row>
    <row r="16" spans="1:4">
      <c r="C16" s="1"/>
      <c r="D16" s="1"/>
    </row>
    <row r="17" spans="3:4">
      <c r="C17" s="1"/>
      <c r="D17" s="1"/>
    </row>
    <row r="18" spans="3:4">
      <c r="C18" s="1"/>
      <c r="D18" s="1"/>
    </row>
    <row r="19" spans="3:4">
      <c r="C19" s="1"/>
      <c r="D19" s="1"/>
    </row>
    <row r="20" spans="3:4">
      <c r="C20" s="1"/>
      <c r="D20" s="1"/>
    </row>
    <row r="21" spans="3:4">
      <c r="C21" s="1"/>
      <c r="D21" s="1"/>
    </row>
    <row r="22" spans="3:4">
      <c r="C22" s="1"/>
      <c r="D22" s="77"/>
    </row>
    <row r="23" spans="3:4">
      <c r="C23" s="1"/>
      <c r="D23" s="1"/>
    </row>
    <row r="24" spans="3:4">
      <c r="C24" s="1"/>
      <c r="D24" s="1"/>
    </row>
    <row r="25" spans="3:4">
      <c r="C25" s="1"/>
      <c r="D25" s="1"/>
    </row>
    <row r="26" spans="3:4">
      <c r="C26" s="1"/>
      <c r="D26" s="1"/>
    </row>
    <row r="27" spans="3:4">
      <c r="C27" s="1"/>
      <c r="D27" s="1"/>
    </row>
  </sheetData>
  <phoneticPr fontId="2"/>
  <hyperlinks>
    <hyperlink ref="A1" location="目次!A1" display="◀" xr:uid="{00000000-0004-0000-0500-000000000000}"/>
  </hyperlink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topLeftCell="A2" workbookViewId="0"/>
  </sheetViews>
  <sheetFormatPr defaultColWidth="3.09765625" defaultRowHeight="18"/>
  <cols>
    <col min="1" max="1" width="5.19921875" bestFit="1" customWidth="1"/>
  </cols>
  <sheetData>
    <row r="1" spans="1:9" s="12" customFormat="1">
      <c r="A1" s="52" t="s">
        <v>0</v>
      </c>
      <c r="C1" s="167" t="s">
        <v>69</v>
      </c>
      <c r="D1" s="167"/>
      <c r="E1" s="167"/>
      <c r="F1" s="167"/>
      <c r="G1" s="167"/>
    </row>
    <row r="2" spans="1:9" ht="18.600000000000001" thickBot="1"/>
    <row r="3" spans="1:9">
      <c r="C3" s="166" t="s">
        <v>44</v>
      </c>
      <c r="D3" s="158"/>
      <c r="E3" s="158"/>
      <c r="F3" s="158"/>
      <c r="G3" s="159"/>
      <c r="I3" t="s">
        <v>70</v>
      </c>
    </row>
    <row r="4" spans="1:9">
      <c r="C4" s="160"/>
      <c r="D4" s="161"/>
      <c r="E4" s="161"/>
      <c r="F4" s="161"/>
      <c r="G4" s="162"/>
    </row>
    <row r="5" spans="1:9" ht="18.600000000000001" thickBot="1">
      <c r="C5" s="163"/>
      <c r="D5" s="164"/>
      <c r="E5" s="164"/>
      <c r="F5" s="164"/>
      <c r="G5" s="165"/>
    </row>
    <row r="6" spans="1:9">
      <c r="E6" t="s">
        <v>71</v>
      </c>
    </row>
    <row r="7" spans="1:9">
      <c r="C7" s="177"/>
      <c r="D7" s="161"/>
      <c r="E7" s="161"/>
      <c r="F7" s="161"/>
      <c r="G7" s="161"/>
    </row>
    <row r="8" spans="1:9">
      <c r="C8" s="161"/>
      <c r="D8" s="161"/>
      <c r="E8" s="161"/>
      <c r="F8" s="161"/>
      <c r="G8" s="161"/>
    </row>
    <row r="9" spans="1:9">
      <c r="C9" s="161"/>
      <c r="D9" s="161"/>
      <c r="E9" s="161"/>
      <c r="F9" s="161"/>
      <c r="G9" s="161"/>
    </row>
    <row r="15" spans="1:9">
      <c r="C15" s="177"/>
      <c r="D15" s="161"/>
      <c r="E15" s="161"/>
      <c r="F15" s="161"/>
      <c r="G15" s="161"/>
    </row>
    <row r="16" spans="1:9">
      <c r="C16" s="161"/>
      <c r="D16" s="161"/>
      <c r="E16" s="161"/>
      <c r="F16" s="161"/>
      <c r="G16" s="161"/>
    </row>
    <row r="17" spans="3:7">
      <c r="C17" s="161"/>
      <c r="D17" s="161"/>
      <c r="E17" s="161"/>
      <c r="F17" s="161"/>
      <c r="G17" s="161"/>
    </row>
  </sheetData>
  <mergeCells count="4">
    <mergeCell ref="C1:G1"/>
    <mergeCell ref="C3:G5"/>
    <mergeCell ref="C7:G9"/>
    <mergeCell ref="C15:G17"/>
  </mergeCells>
  <phoneticPr fontId="2"/>
  <hyperlinks>
    <hyperlink ref="A1" location="目次!A1" display="◀" xr:uid="{00000000-0004-0000-0600-000000000000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3"/>
  <sheetViews>
    <sheetView workbookViewId="0"/>
  </sheetViews>
  <sheetFormatPr defaultColWidth="3.09765625" defaultRowHeight="18"/>
  <cols>
    <col min="1" max="1" width="5.19921875" bestFit="1" customWidth="1"/>
  </cols>
  <sheetData>
    <row r="1" spans="1:11" s="12" customFormat="1">
      <c r="A1" s="52" t="s">
        <v>0</v>
      </c>
      <c r="C1" s="167" t="s">
        <v>72</v>
      </c>
      <c r="D1" s="167"/>
      <c r="E1" s="167"/>
      <c r="F1" s="167"/>
      <c r="G1" s="167"/>
      <c r="H1" s="167"/>
    </row>
    <row r="2" spans="1:11" ht="18.600000000000001" thickBot="1"/>
    <row r="3" spans="1:11">
      <c r="C3" s="166" t="s">
        <v>44</v>
      </c>
      <c r="D3" s="158"/>
      <c r="E3" s="158"/>
      <c r="F3" s="158"/>
      <c r="G3" s="159"/>
      <c r="K3" t="s">
        <v>73</v>
      </c>
    </row>
    <row r="4" spans="1:11">
      <c r="C4" s="160"/>
      <c r="D4" s="161"/>
      <c r="E4" s="161"/>
      <c r="F4" s="161"/>
      <c r="G4" s="162"/>
      <c r="K4" t="s">
        <v>74</v>
      </c>
    </row>
    <row r="5" spans="1:11" ht="18.600000000000001" thickBot="1">
      <c r="C5" s="163"/>
      <c r="D5" s="164"/>
      <c r="E5" s="164"/>
      <c r="F5" s="164"/>
      <c r="G5" s="165"/>
    </row>
    <row r="6" spans="1:11">
      <c r="E6" t="s">
        <v>71</v>
      </c>
    </row>
    <row r="7" spans="1:11">
      <c r="C7" s="177" t="s">
        <v>75</v>
      </c>
      <c r="D7" s="161"/>
      <c r="E7" s="161"/>
      <c r="F7" s="161"/>
      <c r="G7" s="161"/>
    </row>
    <row r="8" spans="1:11">
      <c r="C8" s="161"/>
      <c r="D8" s="161"/>
      <c r="E8" s="161"/>
      <c r="F8" s="161"/>
      <c r="G8" s="161"/>
    </row>
    <row r="9" spans="1:11">
      <c r="C9" s="161"/>
      <c r="D9" s="161"/>
      <c r="E9" s="161"/>
      <c r="F9" s="161"/>
      <c r="G9" s="161"/>
    </row>
    <row r="10" spans="1:11" ht="18.600000000000001" thickBot="1">
      <c r="E10" t="s">
        <v>71</v>
      </c>
    </row>
    <row r="11" spans="1:11">
      <c r="C11" s="166" t="s">
        <v>76</v>
      </c>
      <c r="D11" s="158"/>
      <c r="E11" s="158"/>
      <c r="F11" s="158"/>
      <c r="G11" s="159"/>
      <c r="K11" t="s">
        <v>77</v>
      </c>
    </row>
    <row r="12" spans="1:11">
      <c r="C12" s="160"/>
      <c r="D12" s="161"/>
      <c r="E12" s="161"/>
      <c r="F12" s="161"/>
      <c r="G12" s="162"/>
      <c r="K12" t="s">
        <v>78</v>
      </c>
    </row>
    <row r="13" spans="1:11" ht="18.600000000000001" thickBot="1">
      <c r="C13" s="163"/>
      <c r="D13" s="164"/>
      <c r="E13" s="164"/>
      <c r="F13" s="164"/>
      <c r="G13" s="165"/>
    </row>
    <row r="14" spans="1:11" ht="18.600000000000001" thickBot="1">
      <c r="E14" t="s">
        <v>71</v>
      </c>
    </row>
    <row r="15" spans="1:11">
      <c r="C15" s="166" t="s">
        <v>79</v>
      </c>
      <c r="D15" s="158"/>
      <c r="E15" s="158"/>
      <c r="F15" s="158"/>
      <c r="G15" s="159"/>
      <c r="K15" t="s">
        <v>80</v>
      </c>
    </row>
    <row r="16" spans="1:11">
      <c r="C16" s="160"/>
      <c r="D16" s="161"/>
      <c r="E16" s="161"/>
      <c r="F16" s="161"/>
      <c r="G16" s="162"/>
      <c r="K16" t="s">
        <v>81</v>
      </c>
    </row>
    <row r="17" spans="3:11" ht="18.600000000000001" thickBot="1">
      <c r="C17" s="163"/>
      <c r="D17" s="164"/>
      <c r="E17" s="164"/>
      <c r="F17" s="164"/>
      <c r="G17" s="165"/>
    </row>
    <row r="18" spans="3:11" ht="18.600000000000001" thickBot="1">
      <c r="E18" t="s">
        <v>71</v>
      </c>
    </row>
    <row r="19" spans="3:11">
      <c r="C19" s="166" t="s">
        <v>82</v>
      </c>
      <c r="D19" s="158"/>
      <c r="E19" s="158"/>
      <c r="F19" s="158"/>
      <c r="G19" s="159"/>
    </row>
    <row r="20" spans="3:11">
      <c r="C20" s="160"/>
      <c r="D20" s="161"/>
      <c r="E20" s="161"/>
      <c r="F20" s="161"/>
      <c r="G20" s="162"/>
      <c r="K20" t="s">
        <v>83</v>
      </c>
    </row>
    <row r="21" spans="3:11" ht="18.600000000000001" thickBot="1">
      <c r="C21" s="163"/>
      <c r="D21" s="164"/>
      <c r="E21" s="164"/>
      <c r="F21" s="164"/>
      <c r="G21" s="165"/>
    </row>
    <row r="22" spans="3:11" ht="18.600000000000001" thickBot="1">
      <c r="E22" t="s">
        <v>71</v>
      </c>
    </row>
    <row r="23" spans="3:11">
      <c r="C23" s="166" t="s">
        <v>84</v>
      </c>
      <c r="D23" s="158"/>
      <c r="E23" s="158"/>
      <c r="F23" s="158"/>
      <c r="G23" s="159"/>
      <c r="K23" t="s">
        <v>85</v>
      </c>
    </row>
    <row r="24" spans="3:11">
      <c r="C24" s="160"/>
      <c r="D24" s="161"/>
      <c r="E24" s="161"/>
      <c r="F24" s="161"/>
      <c r="G24" s="162"/>
      <c r="K24" t="s">
        <v>86</v>
      </c>
    </row>
    <row r="25" spans="3:11" ht="18.600000000000001" thickBot="1">
      <c r="C25" s="163"/>
      <c r="D25" s="164"/>
      <c r="E25" s="164"/>
      <c r="F25" s="164"/>
      <c r="G25" s="165"/>
      <c r="K25" t="s">
        <v>87</v>
      </c>
    </row>
    <row r="26" spans="3:11" ht="18.600000000000001" thickBot="1">
      <c r="E26" t="s">
        <v>71</v>
      </c>
      <c r="K26" t="s">
        <v>88</v>
      </c>
    </row>
    <row r="27" spans="3:11">
      <c r="C27" s="166" t="s">
        <v>89</v>
      </c>
      <c r="D27" s="158"/>
      <c r="E27" s="158"/>
      <c r="F27" s="158"/>
      <c r="G27" s="159"/>
    </row>
    <row r="28" spans="3:11">
      <c r="C28" s="160"/>
      <c r="D28" s="161"/>
      <c r="E28" s="161"/>
      <c r="F28" s="161"/>
      <c r="G28" s="162"/>
      <c r="K28" t="s">
        <v>90</v>
      </c>
    </row>
    <row r="29" spans="3:11" ht="18.600000000000001" thickBot="1">
      <c r="C29" s="163"/>
      <c r="D29" s="164"/>
      <c r="E29" s="164"/>
      <c r="F29" s="164"/>
      <c r="G29" s="165"/>
      <c r="K29" t="s">
        <v>91</v>
      </c>
    </row>
    <row r="30" spans="3:11">
      <c r="E30" t="s">
        <v>71</v>
      </c>
    </row>
    <row r="31" spans="3:11">
      <c r="C31" s="177" t="s">
        <v>92</v>
      </c>
      <c r="D31" s="161"/>
      <c r="E31" s="161"/>
      <c r="F31" s="161"/>
      <c r="G31" s="161"/>
    </row>
    <row r="32" spans="3:11">
      <c r="C32" s="161"/>
      <c r="D32" s="161"/>
      <c r="E32" s="161"/>
      <c r="F32" s="161"/>
      <c r="G32" s="161"/>
    </row>
    <row r="33" spans="3:7">
      <c r="C33" s="161"/>
      <c r="D33" s="161"/>
      <c r="E33" s="161"/>
      <c r="F33" s="161"/>
      <c r="G33" s="161"/>
    </row>
  </sheetData>
  <mergeCells count="9">
    <mergeCell ref="C31:G33"/>
    <mergeCell ref="C23:G25"/>
    <mergeCell ref="C27:G29"/>
    <mergeCell ref="C1:H1"/>
    <mergeCell ref="C3:G5"/>
    <mergeCell ref="C11:G13"/>
    <mergeCell ref="C7:G9"/>
    <mergeCell ref="C15:G17"/>
    <mergeCell ref="C19:G21"/>
  </mergeCells>
  <phoneticPr fontId="2"/>
  <hyperlinks>
    <hyperlink ref="A1" location="目次!A1" display="◀" xr:uid="{00000000-0004-0000-07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8"/>
  <sheetData/>
  <phoneticPr fontId="2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U28"/>
  <sheetViews>
    <sheetView topLeftCell="A21" workbookViewId="0">
      <selection activeCell="O4" sqref="O4"/>
    </sheetView>
  </sheetViews>
  <sheetFormatPr defaultColWidth="3.09765625" defaultRowHeight="18"/>
  <cols>
    <col min="1" max="1" width="5.19921875" bestFit="1" customWidth="1"/>
  </cols>
  <sheetData>
    <row r="1" spans="1:73" s="12" customFormat="1">
      <c r="A1" s="54" t="s">
        <v>0</v>
      </c>
      <c r="C1" s="167" t="s">
        <v>45</v>
      </c>
      <c r="D1" s="167"/>
      <c r="E1" s="167"/>
      <c r="F1" s="167"/>
      <c r="G1" s="167"/>
      <c r="H1" s="167"/>
    </row>
    <row r="2" spans="1:73">
      <c r="C2" s="178" t="s">
        <v>69</v>
      </c>
      <c r="D2" s="178"/>
      <c r="E2" s="178"/>
      <c r="F2" s="178"/>
      <c r="G2" s="178"/>
      <c r="H2" s="178"/>
    </row>
    <row r="5" spans="1:73">
      <c r="AX5" s="181" t="s">
        <v>93</v>
      </c>
      <c r="AY5" s="181"/>
      <c r="AZ5" s="181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</row>
    <row r="6" spans="1:73" s="51" customFormat="1" ht="18.75" customHeight="1">
      <c r="AX6" s="182"/>
      <c r="AY6" s="182"/>
      <c r="AZ6" s="182"/>
      <c r="BA6" s="182"/>
      <c r="BB6" s="182"/>
      <c r="BC6" s="182"/>
      <c r="BD6" s="182"/>
      <c r="BE6" s="182"/>
      <c r="BF6" s="182"/>
      <c r="BG6" s="182"/>
      <c r="BH6" s="182"/>
      <c r="BI6" s="182"/>
      <c r="BJ6" s="182"/>
      <c r="BK6" s="182"/>
      <c r="BL6" s="182"/>
      <c r="BM6" s="182"/>
      <c r="BN6" s="182"/>
      <c r="BO6" s="182"/>
      <c r="BP6" s="182"/>
      <c r="BQ6" s="182"/>
      <c r="BR6" s="182"/>
      <c r="BS6" s="182"/>
      <c r="BT6" s="182"/>
      <c r="BU6" s="182"/>
    </row>
    <row r="7" spans="1:73" s="51" customFormat="1" ht="18.75" customHeight="1">
      <c r="AX7" s="183" t="s">
        <v>94</v>
      </c>
      <c r="AY7" s="184"/>
      <c r="AZ7" s="184"/>
      <c r="BA7" s="185"/>
      <c r="BB7" s="16" t="s">
        <v>95</v>
      </c>
      <c r="BC7" s="179" t="s">
        <v>96</v>
      </c>
      <c r="BD7" s="179"/>
      <c r="BE7" s="179"/>
      <c r="BF7" s="179"/>
      <c r="BG7" s="179"/>
      <c r="BH7" s="179"/>
      <c r="BI7" s="179"/>
      <c r="BJ7" s="179"/>
      <c r="BK7" s="179"/>
      <c r="BL7" s="179"/>
      <c r="BM7" s="179"/>
      <c r="BN7" s="179"/>
      <c r="BO7" s="179"/>
      <c r="BP7" s="179"/>
      <c r="BQ7" s="179"/>
      <c r="BR7" s="179"/>
      <c r="BS7" s="179"/>
      <c r="BT7" s="179"/>
      <c r="BU7" s="179"/>
    </row>
    <row r="8" spans="1:73" s="51" customFormat="1" ht="18.75" customHeight="1">
      <c r="AX8" s="186"/>
      <c r="AY8" s="187"/>
      <c r="AZ8" s="187"/>
      <c r="BA8" s="188"/>
      <c r="BB8" s="16" t="s">
        <v>97</v>
      </c>
      <c r="BC8" s="179" t="s">
        <v>96</v>
      </c>
      <c r="BD8" s="179"/>
      <c r="BE8" s="179"/>
      <c r="BF8" s="179"/>
      <c r="BG8" s="179"/>
      <c r="BH8" s="179"/>
      <c r="BI8" s="179"/>
      <c r="BJ8" s="179"/>
      <c r="BK8" s="179"/>
      <c r="BL8" s="179"/>
      <c r="BM8" s="179"/>
      <c r="BN8" s="179"/>
      <c r="BO8" s="179"/>
      <c r="BP8" s="179"/>
      <c r="BQ8" s="179"/>
      <c r="BR8" s="179"/>
      <c r="BS8" s="179"/>
      <c r="BT8" s="179"/>
      <c r="BU8" s="179"/>
    </row>
    <row r="9" spans="1:73">
      <c r="AX9" s="186"/>
      <c r="AY9" s="187"/>
      <c r="AZ9" s="187"/>
      <c r="BA9" s="188"/>
      <c r="BB9" s="16" t="s">
        <v>98</v>
      </c>
      <c r="BC9" s="179" t="s">
        <v>99</v>
      </c>
      <c r="BD9" s="179"/>
      <c r="BE9" s="179"/>
      <c r="BF9" s="179"/>
      <c r="BG9" s="179"/>
      <c r="BH9" s="179"/>
      <c r="BI9" s="179"/>
      <c r="BJ9" s="179"/>
      <c r="BK9" s="179"/>
      <c r="BL9" s="179"/>
      <c r="BM9" s="179"/>
      <c r="BN9" s="179"/>
      <c r="BO9" s="179"/>
      <c r="BP9" s="179"/>
      <c r="BQ9" s="179"/>
      <c r="BR9" s="179"/>
      <c r="BS9" s="179"/>
      <c r="BT9" s="179"/>
      <c r="BU9" s="179"/>
    </row>
    <row r="10" spans="1:73" ht="18.600000000000001" thickBot="1">
      <c r="L10">
        <v>1</v>
      </c>
      <c r="M10">
        <v>2</v>
      </c>
      <c r="N10">
        <v>3</v>
      </c>
      <c r="O10">
        <v>4</v>
      </c>
      <c r="P10">
        <v>5</v>
      </c>
      <c r="Q10">
        <v>6</v>
      </c>
      <c r="R10">
        <v>7</v>
      </c>
      <c r="S10">
        <v>8</v>
      </c>
      <c r="T10">
        <v>9</v>
      </c>
      <c r="U10">
        <v>10</v>
      </c>
      <c r="V10">
        <v>11</v>
      </c>
      <c r="W10">
        <v>12</v>
      </c>
      <c r="X10">
        <v>13</v>
      </c>
      <c r="Y10">
        <v>14</v>
      </c>
      <c r="Z10">
        <v>15</v>
      </c>
      <c r="AA10">
        <v>16</v>
      </c>
      <c r="AB10">
        <v>17</v>
      </c>
      <c r="AC10">
        <v>18</v>
      </c>
      <c r="AD10">
        <v>19</v>
      </c>
      <c r="AE10">
        <v>20</v>
      </c>
      <c r="AF10">
        <v>21</v>
      </c>
      <c r="AG10">
        <v>22</v>
      </c>
      <c r="AH10">
        <v>23</v>
      </c>
      <c r="AI10">
        <v>24</v>
      </c>
      <c r="AJ10">
        <v>25</v>
      </c>
      <c r="AK10">
        <v>26</v>
      </c>
      <c r="AL10">
        <v>27</v>
      </c>
      <c r="AM10">
        <v>28</v>
      </c>
      <c r="AN10">
        <v>29</v>
      </c>
      <c r="AO10">
        <v>30</v>
      </c>
      <c r="AP10">
        <v>31</v>
      </c>
      <c r="AQ10">
        <v>32</v>
      </c>
      <c r="AX10" s="186"/>
      <c r="AY10" s="187"/>
      <c r="AZ10" s="187"/>
      <c r="BA10" s="188"/>
      <c r="BB10" s="16" t="s">
        <v>100</v>
      </c>
      <c r="BC10" s="179" t="s">
        <v>101</v>
      </c>
      <c r="BD10" s="179"/>
      <c r="BE10" s="179"/>
      <c r="BF10" s="179"/>
      <c r="BG10" s="179"/>
      <c r="BH10" s="179"/>
      <c r="BI10" s="179"/>
      <c r="BJ10" s="179"/>
      <c r="BK10" s="179"/>
      <c r="BL10" s="179"/>
      <c r="BM10" s="179"/>
      <c r="BN10" s="179"/>
      <c r="BO10" s="179"/>
      <c r="BP10" s="179"/>
      <c r="BQ10" s="179"/>
      <c r="BR10" s="179"/>
      <c r="BS10" s="179"/>
      <c r="BT10" s="179"/>
      <c r="BU10" s="179"/>
    </row>
    <row r="11" spans="1:73" ht="18.75" customHeight="1">
      <c r="K11" s="74">
        <v>1</v>
      </c>
      <c r="L11" s="55"/>
      <c r="M11" s="56"/>
      <c r="N11" s="56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8"/>
      <c r="AC11" s="58"/>
      <c r="AD11" s="58"/>
      <c r="AE11" s="58"/>
      <c r="AF11" s="57"/>
      <c r="AG11" s="57"/>
      <c r="AH11" s="57"/>
      <c r="AI11" s="57"/>
      <c r="AJ11" s="57"/>
      <c r="AK11" s="57"/>
      <c r="AL11" s="57"/>
      <c r="AM11" s="57"/>
      <c r="AN11" s="57"/>
      <c r="AO11" s="59"/>
      <c r="AP11" s="56"/>
      <c r="AQ11" s="60"/>
      <c r="AR11" s="51"/>
      <c r="AX11" s="189"/>
      <c r="AY11" s="190"/>
      <c r="AZ11" s="190"/>
      <c r="BA11" s="191"/>
      <c r="BB11" s="16" t="s">
        <v>102</v>
      </c>
      <c r="BC11" s="179" t="s">
        <v>96</v>
      </c>
      <c r="BD11" s="179"/>
      <c r="BE11" s="179"/>
      <c r="BF11" s="179"/>
      <c r="BG11" s="179"/>
      <c r="BH11" s="179"/>
      <c r="BI11" s="179"/>
      <c r="BJ11" s="179"/>
      <c r="BK11" s="179"/>
      <c r="BL11" s="179"/>
      <c r="BM11" s="179"/>
      <c r="BN11" s="179"/>
      <c r="BO11" s="179"/>
      <c r="BP11" s="179"/>
      <c r="BQ11" s="179"/>
      <c r="BR11" s="179"/>
      <c r="BS11" s="179"/>
      <c r="BT11" s="179"/>
      <c r="BU11" s="179"/>
    </row>
    <row r="12" spans="1:73" ht="18.75" customHeight="1">
      <c r="K12" s="74">
        <v>2</v>
      </c>
      <c r="L12" s="61"/>
      <c r="M12" s="62"/>
      <c r="N12" s="62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63"/>
      <c r="AC12" s="63"/>
      <c r="AD12" s="63"/>
      <c r="AE12" s="63"/>
      <c r="AF12" s="51"/>
      <c r="AG12" s="51"/>
      <c r="AH12" s="51"/>
      <c r="AI12" s="51"/>
      <c r="AJ12" s="51"/>
      <c r="AK12" s="51"/>
      <c r="AL12" s="51"/>
      <c r="AM12" s="51"/>
      <c r="AN12" s="51"/>
      <c r="AO12" s="62"/>
      <c r="AP12" s="62"/>
      <c r="AQ12" s="64"/>
      <c r="AR12" s="51"/>
      <c r="AX12" s="183" t="s">
        <v>103</v>
      </c>
      <c r="AY12" s="184"/>
      <c r="AZ12" s="184"/>
      <c r="BA12" s="185"/>
      <c r="BB12" s="16" t="s">
        <v>95</v>
      </c>
      <c r="BC12" s="179" t="s">
        <v>96</v>
      </c>
      <c r="BD12" s="179"/>
      <c r="BE12" s="179"/>
      <c r="BF12" s="179"/>
      <c r="BG12" s="179"/>
      <c r="BH12" s="179"/>
      <c r="BI12" s="179"/>
      <c r="BJ12" s="179"/>
      <c r="BK12" s="179"/>
      <c r="BL12" s="179"/>
      <c r="BM12" s="179"/>
      <c r="BN12" s="179"/>
      <c r="BO12" s="179"/>
      <c r="BP12" s="179"/>
      <c r="BQ12" s="179"/>
      <c r="BR12" s="179"/>
      <c r="BS12" s="179"/>
      <c r="BT12" s="179"/>
      <c r="BU12" s="179"/>
    </row>
    <row r="13" spans="1:73" ht="18.75" customHeight="1">
      <c r="K13" s="74">
        <v>3</v>
      </c>
      <c r="L13" s="65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63"/>
      <c r="AC13" s="63"/>
      <c r="AD13" s="63"/>
      <c r="AE13" s="63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66"/>
      <c r="AR13" s="51"/>
      <c r="AX13" s="186"/>
      <c r="AY13" s="187"/>
      <c r="AZ13" s="187"/>
      <c r="BA13" s="188"/>
      <c r="BB13" s="16" t="s">
        <v>97</v>
      </c>
      <c r="BC13" s="179" t="s">
        <v>96</v>
      </c>
      <c r="BD13" s="179"/>
      <c r="BE13" s="179"/>
      <c r="BF13" s="179"/>
      <c r="BG13" s="179"/>
      <c r="BH13" s="179"/>
      <c r="BI13" s="179"/>
      <c r="BJ13" s="179"/>
      <c r="BK13" s="179"/>
      <c r="BL13" s="179"/>
      <c r="BM13" s="179"/>
      <c r="BN13" s="179"/>
      <c r="BO13" s="179"/>
      <c r="BP13" s="179"/>
      <c r="BQ13" s="179"/>
      <c r="BR13" s="179"/>
      <c r="BS13" s="179"/>
      <c r="BT13" s="179"/>
      <c r="BU13" s="179"/>
    </row>
    <row r="14" spans="1:73" ht="18.75" customHeight="1">
      <c r="K14" s="74">
        <v>4</v>
      </c>
      <c r="L14" s="67"/>
      <c r="AQ14" s="68"/>
      <c r="AX14" s="186"/>
      <c r="AY14" s="187"/>
      <c r="AZ14" s="187"/>
      <c r="BA14" s="188"/>
      <c r="BB14" s="16" t="s">
        <v>98</v>
      </c>
      <c r="BC14" s="179" t="s">
        <v>96</v>
      </c>
      <c r="BD14" s="179"/>
      <c r="BE14" s="179"/>
      <c r="BF14" s="179"/>
      <c r="BG14" s="179"/>
      <c r="BH14" s="179"/>
      <c r="BI14" s="179"/>
      <c r="BJ14" s="179"/>
      <c r="BK14" s="179"/>
      <c r="BL14" s="179"/>
      <c r="BM14" s="179"/>
      <c r="BN14" s="179"/>
      <c r="BO14" s="179"/>
      <c r="BP14" s="179"/>
      <c r="BQ14" s="179"/>
      <c r="BR14" s="179"/>
      <c r="BS14" s="179"/>
      <c r="BT14" s="179"/>
      <c r="BU14" s="179"/>
    </row>
    <row r="15" spans="1:73">
      <c r="K15" s="74">
        <v>5</v>
      </c>
      <c r="L15" s="67"/>
      <c r="AQ15" s="68"/>
      <c r="AX15" s="189"/>
      <c r="AY15" s="190"/>
      <c r="AZ15" s="190"/>
      <c r="BA15" s="191"/>
      <c r="BB15" s="16" t="s">
        <v>100</v>
      </c>
      <c r="BC15" s="179" t="s">
        <v>104</v>
      </c>
      <c r="BD15" s="179"/>
      <c r="BE15" s="179"/>
      <c r="BF15" s="179"/>
      <c r="BG15" s="179"/>
      <c r="BH15" s="179"/>
      <c r="BI15" s="179"/>
      <c r="BJ15" s="179"/>
      <c r="BK15" s="179"/>
      <c r="BL15" s="179"/>
      <c r="BM15" s="179"/>
      <c r="BN15" s="179"/>
      <c r="BO15" s="179"/>
      <c r="BP15" s="179"/>
      <c r="BQ15" s="179"/>
      <c r="BR15" s="179"/>
      <c r="BS15" s="179"/>
      <c r="BT15" s="179"/>
      <c r="BU15" s="179"/>
    </row>
    <row r="16" spans="1:73">
      <c r="K16" s="74">
        <v>6</v>
      </c>
      <c r="L16" s="67"/>
      <c r="AQ16" s="68"/>
    </row>
    <row r="17" spans="11:43">
      <c r="K17" s="74">
        <v>7</v>
      </c>
      <c r="L17" s="67"/>
      <c r="AQ17" s="68"/>
    </row>
    <row r="18" spans="11:43">
      <c r="K18" s="74">
        <v>8</v>
      </c>
      <c r="L18" s="67"/>
      <c r="AQ18" s="68"/>
    </row>
    <row r="19" spans="11:43">
      <c r="K19" s="74">
        <v>9</v>
      </c>
      <c r="L19" s="67"/>
      <c r="AQ19" s="68"/>
    </row>
    <row r="20" spans="11:43" ht="18.75" customHeight="1">
      <c r="K20" s="74">
        <v>10</v>
      </c>
      <c r="L20" s="67"/>
      <c r="AQ20" s="68"/>
    </row>
    <row r="21" spans="11:43" ht="18.75" customHeight="1">
      <c r="K21" s="74">
        <v>11</v>
      </c>
      <c r="L21" s="67"/>
      <c r="AQ21" s="68"/>
    </row>
    <row r="22" spans="11:43">
      <c r="K22" s="74">
        <v>12</v>
      </c>
      <c r="L22" s="67"/>
      <c r="AQ22" s="68"/>
    </row>
    <row r="23" spans="11:43">
      <c r="K23" s="74">
        <v>13</v>
      </c>
      <c r="L23" s="67"/>
      <c r="AQ23" s="68"/>
    </row>
    <row r="24" spans="11:43">
      <c r="K24" s="74">
        <v>14</v>
      </c>
      <c r="L24" s="67"/>
      <c r="AQ24" s="68"/>
    </row>
    <row r="25" spans="11:43">
      <c r="K25" s="74">
        <v>15</v>
      </c>
      <c r="L25" s="67"/>
      <c r="O25" s="180" t="s">
        <v>105</v>
      </c>
      <c r="P25" s="180"/>
      <c r="Q25" s="180"/>
      <c r="R25" s="180"/>
      <c r="S25" s="180"/>
      <c r="T25" s="180"/>
      <c r="U25" s="180"/>
      <c r="V25" s="180"/>
      <c r="X25" s="180" t="s">
        <v>106</v>
      </c>
      <c r="Y25" s="180"/>
      <c r="Z25" s="180"/>
      <c r="AA25" s="180"/>
      <c r="AB25" s="180"/>
      <c r="AC25" s="180"/>
      <c r="AD25" s="180"/>
      <c r="AE25" s="180"/>
      <c r="AG25" s="180" t="s">
        <v>107</v>
      </c>
      <c r="AH25" s="180"/>
      <c r="AI25" s="180"/>
      <c r="AJ25" s="180"/>
      <c r="AK25" s="180"/>
      <c r="AL25" s="180"/>
      <c r="AM25" s="180"/>
      <c r="AN25" s="180"/>
      <c r="AQ25" s="68"/>
    </row>
    <row r="26" spans="11:43" ht="18.75" customHeight="1">
      <c r="K26" s="74">
        <v>16</v>
      </c>
      <c r="L26" s="67"/>
      <c r="O26" s="180"/>
      <c r="P26" s="180"/>
      <c r="Q26" s="180"/>
      <c r="R26" s="180"/>
      <c r="S26" s="180"/>
      <c r="T26" s="180"/>
      <c r="U26" s="180"/>
      <c r="V26" s="180"/>
      <c r="X26" s="180"/>
      <c r="Y26" s="180"/>
      <c r="Z26" s="180"/>
      <c r="AA26" s="180"/>
      <c r="AB26" s="180"/>
      <c r="AC26" s="180"/>
      <c r="AD26" s="180"/>
      <c r="AE26" s="180"/>
      <c r="AG26" s="180"/>
      <c r="AH26" s="180"/>
      <c r="AI26" s="180"/>
      <c r="AJ26" s="180"/>
      <c r="AK26" s="180"/>
      <c r="AL26" s="180"/>
      <c r="AM26" s="180"/>
      <c r="AN26" s="180"/>
      <c r="AQ26" s="68"/>
    </row>
    <row r="27" spans="11:43" ht="18.75" customHeight="1">
      <c r="K27" s="74">
        <v>17</v>
      </c>
      <c r="L27" s="67"/>
      <c r="AQ27" s="68"/>
    </row>
    <row r="28" spans="11:43" ht="18.600000000000001" thickBot="1">
      <c r="K28" s="74">
        <v>18</v>
      </c>
      <c r="L28" s="69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1"/>
    </row>
  </sheetData>
  <mergeCells count="18">
    <mergeCell ref="BC13:BU13"/>
    <mergeCell ref="BC14:BU14"/>
    <mergeCell ref="C1:H1"/>
    <mergeCell ref="C2:H2"/>
    <mergeCell ref="BC15:BU15"/>
    <mergeCell ref="O25:V26"/>
    <mergeCell ref="X25:AE26"/>
    <mergeCell ref="AG25:AN26"/>
    <mergeCell ref="AX5:AZ5"/>
    <mergeCell ref="AX6:BU6"/>
    <mergeCell ref="AX7:BA11"/>
    <mergeCell ref="BC7:BU7"/>
    <mergeCell ref="BC8:BU8"/>
    <mergeCell ref="BC9:BU9"/>
    <mergeCell ref="BC10:BU10"/>
    <mergeCell ref="BC11:BU11"/>
    <mergeCell ref="AX12:BA15"/>
    <mergeCell ref="BC12:BU12"/>
  </mergeCells>
  <phoneticPr fontId="2"/>
  <hyperlinks>
    <hyperlink ref="A1" location="目次!A1" display="◀" xr:uid="{00000000-0004-0000-0A00-000000000000}"/>
    <hyperlink ref="C2:H2" location="タイトルフロー!A1" display="タイトルフロー" xr:uid="{00000000-0004-0000-0A00-000001000000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23"/>
  <sheetViews>
    <sheetView workbookViewId="0"/>
  </sheetViews>
  <sheetFormatPr defaultColWidth="3.09765625" defaultRowHeight="18"/>
  <cols>
    <col min="1" max="16384" width="3.09765625" style="15"/>
  </cols>
  <sheetData>
    <row r="1" spans="1:37" s="12" customFormat="1">
      <c r="A1" s="54" t="s">
        <v>0</v>
      </c>
      <c r="C1" s="167" t="s">
        <v>108</v>
      </c>
      <c r="D1" s="167"/>
      <c r="E1" s="167"/>
      <c r="F1" s="167"/>
      <c r="G1" s="167"/>
      <c r="H1" s="167"/>
    </row>
    <row r="5" spans="1:37" ht="18.600000000000001" thickBot="1">
      <c r="F5">
        <v>1</v>
      </c>
      <c r="G5">
        <v>2</v>
      </c>
      <c r="H5">
        <v>3</v>
      </c>
      <c r="I5">
        <v>4</v>
      </c>
      <c r="J5">
        <v>5</v>
      </c>
      <c r="K5">
        <v>6</v>
      </c>
      <c r="L5">
        <v>7</v>
      </c>
      <c r="M5">
        <v>8</v>
      </c>
      <c r="N5">
        <v>9</v>
      </c>
      <c r="O5">
        <v>10</v>
      </c>
      <c r="P5">
        <v>11</v>
      </c>
      <c r="Q5">
        <v>12</v>
      </c>
      <c r="R5">
        <v>13</v>
      </c>
      <c r="S5">
        <v>14</v>
      </c>
      <c r="T5">
        <v>15</v>
      </c>
      <c r="U5">
        <v>16</v>
      </c>
      <c r="V5">
        <v>17</v>
      </c>
      <c r="W5">
        <v>18</v>
      </c>
      <c r="X5">
        <v>19</v>
      </c>
      <c r="Y5">
        <v>20</v>
      </c>
      <c r="Z5">
        <v>21</v>
      </c>
      <c r="AA5">
        <v>22</v>
      </c>
      <c r="AB5">
        <v>23</v>
      </c>
      <c r="AC5">
        <v>24</v>
      </c>
      <c r="AD5">
        <v>25</v>
      </c>
      <c r="AE5">
        <v>26</v>
      </c>
      <c r="AF5">
        <v>27</v>
      </c>
      <c r="AG5">
        <v>28</v>
      </c>
      <c r="AH5">
        <v>29</v>
      </c>
      <c r="AI5">
        <v>30</v>
      </c>
      <c r="AJ5">
        <v>31</v>
      </c>
      <c r="AK5">
        <v>32</v>
      </c>
    </row>
    <row r="6" spans="1:37" s="23" customFormat="1" ht="18.75" customHeight="1">
      <c r="E6" s="74">
        <v>1</v>
      </c>
      <c r="F6" s="40"/>
      <c r="G6" s="41"/>
      <c r="H6" s="41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42"/>
      <c r="W6" s="42"/>
      <c r="X6" s="42"/>
      <c r="Y6" s="42"/>
      <c r="Z6" s="22"/>
      <c r="AA6" s="22"/>
      <c r="AB6" s="22"/>
      <c r="AC6" s="22"/>
      <c r="AD6" s="22"/>
      <c r="AE6" s="22"/>
      <c r="AF6" s="22"/>
      <c r="AG6" s="22"/>
      <c r="AH6" s="22"/>
      <c r="AI6" s="43"/>
      <c r="AJ6" s="41"/>
      <c r="AK6" s="44"/>
    </row>
    <row r="7" spans="1:37" s="23" customFormat="1" ht="18.75" customHeight="1">
      <c r="E7" s="74">
        <v>2</v>
      </c>
      <c r="F7" s="45"/>
      <c r="G7" s="46"/>
      <c r="H7" s="46"/>
      <c r="V7" s="47"/>
      <c r="W7" s="47"/>
      <c r="X7" s="47"/>
      <c r="Y7" s="47"/>
      <c r="AI7" s="46"/>
      <c r="AJ7" s="46"/>
      <c r="AK7" s="48"/>
    </row>
    <row r="8" spans="1:37" s="23" customFormat="1" ht="18.75" customHeight="1">
      <c r="E8" s="74">
        <v>3</v>
      </c>
      <c r="F8" s="49"/>
      <c r="V8" s="47"/>
      <c r="W8" s="47"/>
      <c r="X8" s="47"/>
      <c r="Y8" s="47"/>
      <c r="AK8" s="50"/>
    </row>
    <row r="9" spans="1:37">
      <c r="E9" s="74">
        <v>4</v>
      </c>
      <c r="F9" s="29"/>
      <c r="AK9" s="32"/>
    </row>
    <row r="10" spans="1:37">
      <c r="E10" s="74">
        <v>5</v>
      </c>
      <c r="F10" s="29"/>
      <c r="AK10" s="32"/>
    </row>
    <row r="11" spans="1:37">
      <c r="E11" s="74">
        <v>6</v>
      </c>
      <c r="F11" s="29"/>
      <c r="AK11" s="32"/>
    </row>
    <row r="12" spans="1:37">
      <c r="E12" s="74">
        <v>7</v>
      </c>
      <c r="F12" s="29"/>
      <c r="AK12" s="32"/>
    </row>
    <row r="13" spans="1:37">
      <c r="E13" s="74">
        <v>8</v>
      </c>
      <c r="F13" s="29"/>
      <c r="AK13" s="32"/>
    </row>
    <row r="14" spans="1:37">
      <c r="E14" s="74">
        <v>9</v>
      </c>
      <c r="F14" s="29"/>
      <c r="AK14" s="32"/>
    </row>
    <row r="15" spans="1:37">
      <c r="E15" s="74">
        <v>10</v>
      </c>
      <c r="F15" s="29"/>
      <c r="AK15" s="32"/>
    </row>
    <row r="16" spans="1:37">
      <c r="E16" s="74">
        <v>11</v>
      </c>
      <c r="F16" s="29"/>
      <c r="AK16" s="32"/>
    </row>
    <row r="17" spans="5:37">
      <c r="E17" s="74">
        <v>12</v>
      </c>
      <c r="F17" s="29"/>
      <c r="AK17" s="32"/>
    </row>
    <row r="18" spans="5:37">
      <c r="E18" s="74">
        <v>13</v>
      </c>
      <c r="F18" s="29"/>
      <c r="AK18" s="32"/>
    </row>
    <row r="19" spans="5:37">
      <c r="E19" s="74">
        <v>14</v>
      </c>
      <c r="F19" s="29"/>
      <c r="AK19" s="32"/>
    </row>
    <row r="20" spans="5:37">
      <c r="E20" s="74">
        <v>15</v>
      </c>
      <c r="F20" s="29"/>
      <c r="AK20" s="32"/>
    </row>
    <row r="21" spans="5:37">
      <c r="E21" s="74">
        <v>16</v>
      </c>
      <c r="F21" s="29"/>
      <c r="AK21" s="32"/>
    </row>
    <row r="22" spans="5:37">
      <c r="E22" s="74">
        <v>17</v>
      </c>
      <c r="F22" s="29"/>
      <c r="AK22" s="32"/>
    </row>
    <row r="23" spans="5:37" ht="18.600000000000001" thickBot="1">
      <c r="E23" s="74">
        <v>18</v>
      </c>
      <c r="F23" s="33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7"/>
    </row>
  </sheetData>
  <mergeCells count="1">
    <mergeCell ref="C1:H1"/>
  </mergeCells>
  <phoneticPr fontId="2"/>
  <hyperlinks>
    <hyperlink ref="A1" location="目次!A1" display="◀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K23"/>
  <sheetViews>
    <sheetView topLeftCell="A18" workbookViewId="0"/>
  </sheetViews>
  <sheetFormatPr defaultColWidth="3.09765625" defaultRowHeight="18"/>
  <cols>
    <col min="1" max="16384" width="3.09765625" style="15"/>
  </cols>
  <sheetData>
    <row r="1" spans="1:37" s="12" customFormat="1">
      <c r="A1" s="54" t="s">
        <v>0</v>
      </c>
      <c r="C1" s="167" t="s">
        <v>51</v>
      </c>
      <c r="D1" s="167"/>
      <c r="E1" s="167"/>
      <c r="F1" s="167"/>
      <c r="G1" s="167"/>
      <c r="H1" s="167"/>
    </row>
    <row r="5" spans="1:37" ht="18.600000000000001" thickBot="1">
      <c r="F5">
        <v>1</v>
      </c>
      <c r="G5">
        <v>2</v>
      </c>
      <c r="H5">
        <v>3</v>
      </c>
      <c r="I5">
        <v>4</v>
      </c>
      <c r="J5">
        <v>5</v>
      </c>
      <c r="K5">
        <v>6</v>
      </c>
      <c r="L5">
        <v>7</v>
      </c>
      <c r="M5">
        <v>8</v>
      </c>
      <c r="N5">
        <v>9</v>
      </c>
      <c r="O5">
        <v>10</v>
      </c>
      <c r="P5">
        <v>11</v>
      </c>
      <c r="Q5">
        <v>12</v>
      </c>
      <c r="R5">
        <v>13</v>
      </c>
      <c r="S5">
        <v>14</v>
      </c>
      <c r="T5">
        <v>15</v>
      </c>
      <c r="U5">
        <v>16</v>
      </c>
      <c r="V5">
        <v>17</v>
      </c>
      <c r="W5">
        <v>18</v>
      </c>
      <c r="X5">
        <v>19</v>
      </c>
      <c r="Y5">
        <v>20</v>
      </c>
      <c r="Z5">
        <v>21</v>
      </c>
      <c r="AA5">
        <v>22</v>
      </c>
      <c r="AB5">
        <v>23</v>
      </c>
      <c r="AC5">
        <v>24</v>
      </c>
      <c r="AD5">
        <v>25</v>
      </c>
      <c r="AE5">
        <v>26</v>
      </c>
      <c r="AF5">
        <v>27</v>
      </c>
      <c r="AG5">
        <v>28</v>
      </c>
      <c r="AH5">
        <v>29</v>
      </c>
      <c r="AI5">
        <v>30</v>
      </c>
      <c r="AJ5">
        <v>31</v>
      </c>
      <c r="AK5">
        <v>32</v>
      </c>
    </row>
    <row r="6" spans="1:37" s="23" customFormat="1" ht="18.75" customHeight="1">
      <c r="E6" s="74">
        <v>1</v>
      </c>
      <c r="F6" s="40"/>
      <c r="G6" s="41"/>
      <c r="H6" s="41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42"/>
      <c r="W6" s="42"/>
      <c r="X6" s="42"/>
      <c r="Y6" s="42"/>
      <c r="Z6" s="22"/>
      <c r="AA6" s="22"/>
      <c r="AB6" s="22"/>
      <c r="AC6" s="22"/>
      <c r="AD6" s="22"/>
      <c r="AE6" s="22"/>
      <c r="AF6" s="22"/>
      <c r="AG6" s="22"/>
      <c r="AH6" s="22"/>
      <c r="AI6" s="43"/>
      <c r="AJ6" s="41"/>
      <c r="AK6" s="44"/>
    </row>
    <row r="7" spans="1:37" s="23" customFormat="1" ht="18.75" customHeight="1">
      <c r="E7" s="74">
        <v>2</v>
      </c>
      <c r="F7" s="45"/>
      <c r="G7" s="46"/>
      <c r="H7" s="46"/>
      <c r="V7" s="47"/>
      <c r="W7" s="47"/>
      <c r="X7" s="47"/>
      <c r="Y7" s="47"/>
      <c r="AI7" s="46"/>
      <c r="AJ7" s="46"/>
      <c r="AK7" s="48"/>
    </row>
    <row r="8" spans="1:37" s="23" customFormat="1" ht="18.75" customHeight="1">
      <c r="E8" s="74">
        <v>3</v>
      </c>
      <c r="F8" s="49"/>
      <c r="V8" s="47"/>
      <c r="W8" s="47"/>
      <c r="X8" s="47"/>
      <c r="Y8" s="47"/>
      <c r="AK8" s="50"/>
    </row>
    <row r="9" spans="1:37">
      <c r="E9" s="74">
        <v>4</v>
      </c>
      <c r="F9" s="29"/>
      <c r="AK9" s="32"/>
    </row>
    <row r="10" spans="1:37">
      <c r="E10" s="74">
        <v>5</v>
      </c>
      <c r="F10" s="29"/>
      <c r="AK10" s="32"/>
    </row>
    <row r="11" spans="1:37">
      <c r="E11" s="74">
        <v>6</v>
      </c>
      <c r="F11" s="29"/>
      <c r="AK11" s="32"/>
    </row>
    <row r="12" spans="1:37">
      <c r="E12" s="74">
        <v>7</v>
      </c>
      <c r="F12" s="29"/>
      <c r="AK12" s="32"/>
    </row>
    <row r="13" spans="1:37">
      <c r="E13" s="74">
        <v>8</v>
      </c>
      <c r="F13" s="29"/>
      <c r="AK13" s="32"/>
    </row>
    <row r="14" spans="1:37">
      <c r="E14" s="74">
        <v>9</v>
      </c>
      <c r="F14" s="29"/>
      <c r="AK14" s="32"/>
    </row>
    <row r="15" spans="1:37">
      <c r="E15" s="74">
        <v>10</v>
      </c>
      <c r="F15" s="29"/>
      <c r="AK15" s="32"/>
    </row>
    <row r="16" spans="1:37">
      <c r="E16" s="74">
        <v>11</v>
      </c>
      <c r="F16" s="29"/>
      <c r="AK16" s="32"/>
    </row>
    <row r="17" spans="5:37">
      <c r="E17" s="74">
        <v>12</v>
      </c>
      <c r="F17" s="29"/>
      <c r="AK17" s="32"/>
    </row>
    <row r="18" spans="5:37">
      <c r="E18" s="74">
        <v>13</v>
      </c>
      <c r="F18" s="29"/>
      <c r="AK18" s="32"/>
    </row>
    <row r="19" spans="5:37">
      <c r="E19" s="74">
        <v>14</v>
      </c>
      <c r="F19" s="29"/>
      <c r="AK19" s="32"/>
    </row>
    <row r="20" spans="5:37">
      <c r="E20" s="74">
        <v>15</v>
      </c>
      <c r="F20" s="29"/>
      <c r="AK20" s="32"/>
    </row>
    <row r="21" spans="5:37">
      <c r="E21" s="74">
        <v>16</v>
      </c>
      <c r="F21" s="29"/>
      <c r="AK21" s="32"/>
    </row>
    <row r="22" spans="5:37">
      <c r="E22" s="74">
        <v>17</v>
      </c>
      <c r="F22" s="29"/>
      <c r="AK22" s="32"/>
    </row>
    <row r="23" spans="5:37" ht="18.600000000000001" thickBot="1">
      <c r="E23" s="74">
        <v>18</v>
      </c>
      <c r="F23" s="33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7"/>
    </row>
  </sheetData>
  <mergeCells count="1">
    <mergeCell ref="C1:H1"/>
  </mergeCells>
  <phoneticPr fontId="2"/>
  <hyperlinks>
    <hyperlink ref="A1" location="目次!A1" display="◀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N28"/>
  <sheetViews>
    <sheetView topLeftCell="A5" workbookViewId="0">
      <selection activeCell="AW5" sqref="AW5:AY5"/>
    </sheetView>
  </sheetViews>
  <sheetFormatPr defaultColWidth="3.09765625" defaultRowHeight="18"/>
  <cols>
    <col min="1" max="1" width="5.19921875" style="15" bestFit="1" customWidth="1"/>
    <col min="2" max="16384" width="3.09765625" style="15"/>
  </cols>
  <sheetData>
    <row r="1" spans="1:40" s="12" customFormat="1">
      <c r="A1" s="52" t="s">
        <v>0</v>
      </c>
      <c r="C1" s="167" t="s">
        <v>109</v>
      </c>
      <c r="D1" s="167"/>
      <c r="E1" s="167"/>
      <c r="F1" s="167"/>
      <c r="G1" s="167"/>
      <c r="H1" s="167"/>
    </row>
    <row r="2" spans="1:40">
      <c r="C2" s="195" t="s">
        <v>110</v>
      </c>
      <c r="D2" s="195"/>
      <c r="E2" s="195"/>
      <c r="F2" s="195"/>
      <c r="G2" s="195"/>
      <c r="H2" s="195"/>
    </row>
    <row r="6" spans="1:40" s="23" customFormat="1"/>
    <row r="7" spans="1:40" s="23" customFormat="1"/>
    <row r="8" spans="1:40" s="23" customFormat="1"/>
    <row r="10" spans="1:40" ht="18.600000000000001" thickBot="1">
      <c r="I10">
        <v>1</v>
      </c>
      <c r="J10">
        <v>2</v>
      </c>
      <c r="K10">
        <v>3</v>
      </c>
      <c r="L10">
        <v>4</v>
      </c>
      <c r="M10">
        <v>5</v>
      </c>
      <c r="N10">
        <v>6</v>
      </c>
      <c r="O10">
        <v>7</v>
      </c>
      <c r="P10">
        <v>8</v>
      </c>
      <c r="Q10">
        <v>9</v>
      </c>
      <c r="R10">
        <v>10</v>
      </c>
      <c r="S10">
        <v>11</v>
      </c>
      <c r="T10">
        <v>12</v>
      </c>
      <c r="U10">
        <v>13</v>
      </c>
      <c r="V10">
        <v>14</v>
      </c>
      <c r="W10">
        <v>15</v>
      </c>
      <c r="X10">
        <v>16</v>
      </c>
      <c r="Y10">
        <v>17</v>
      </c>
      <c r="Z10">
        <v>18</v>
      </c>
      <c r="AA10">
        <v>19</v>
      </c>
      <c r="AB10">
        <v>20</v>
      </c>
      <c r="AC10">
        <v>21</v>
      </c>
      <c r="AD10">
        <v>22</v>
      </c>
      <c r="AE10">
        <v>23</v>
      </c>
      <c r="AF10">
        <v>24</v>
      </c>
      <c r="AG10">
        <v>25</v>
      </c>
      <c r="AH10">
        <v>26</v>
      </c>
      <c r="AI10">
        <v>27</v>
      </c>
      <c r="AJ10">
        <v>28</v>
      </c>
      <c r="AK10">
        <v>29</v>
      </c>
      <c r="AL10">
        <v>30</v>
      </c>
      <c r="AM10">
        <v>31</v>
      </c>
      <c r="AN10">
        <v>32</v>
      </c>
    </row>
    <row r="11" spans="1:40" ht="18.75" customHeight="1">
      <c r="H11" s="74">
        <v>1</v>
      </c>
      <c r="I11" s="196" t="s">
        <v>111</v>
      </c>
      <c r="J11" s="197"/>
      <c r="K11" s="197"/>
      <c r="L11" s="197"/>
      <c r="M11" s="197"/>
      <c r="N11" s="197"/>
      <c r="O11" s="22" t="s">
        <v>112</v>
      </c>
      <c r="P11" s="22">
        <v>8</v>
      </c>
      <c r="Q11" s="22" t="s">
        <v>113</v>
      </c>
      <c r="R11" s="22">
        <v>17</v>
      </c>
      <c r="S11" s="22"/>
      <c r="T11" s="22"/>
      <c r="U11" s="22" t="s">
        <v>112</v>
      </c>
      <c r="V11" s="22"/>
      <c r="W11" s="192" t="s">
        <v>114</v>
      </c>
      <c r="X11" s="192"/>
      <c r="Y11" s="192"/>
      <c r="Z11" s="192"/>
      <c r="AA11" s="22"/>
      <c r="AB11" s="22" t="s">
        <v>113</v>
      </c>
      <c r="AC11" s="22"/>
      <c r="AD11" s="22"/>
      <c r="AE11" s="22" t="s">
        <v>112</v>
      </c>
      <c r="AF11" s="22">
        <v>10</v>
      </c>
      <c r="AG11" s="22" t="s">
        <v>113</v>
      </c>
      <c r="AH11" s="22">
        <v>15</v>
      </c>
      <c r="AI11" s="200" t="s">
        <v>115</v>
      </c>
      <c r="AJ11" s="200"/>
      <c r="AK11" s="200"/>
      <c r="AL11" s="200"/>
      <c r="AM11" s="200"/>
      <c r="AN11" s="201"/>
    </row>
    <row r="12" spans="1:40" ht="18.75" customHeight="1">
      <c r="H12" s="74">
        <v>2</v>
      </c>
      <c r="I12" s="198"/>
      <c r="J12" s="199"/>
      <c r="K12" s="199"/>
      <c r="L12" s="199"/>
      <c r="M12" s="199"/>
      <c r="N12" s="199"/>
      <c r="O12" s="23" t="s">
        <v>116</v>
      </c>
      <c r="P12" s="23">
        <v>14</v>
      </c>
      <c r="Q12" s="23" t="s">
        <v>117</v>
      </c>
      <c r="R12" s="23">
        <v>11</v>
      </c>
      <c r="S12" s="23"/>
      <c r="T12" s="23" t="s">
        <v>113</v>
      </c>
      <c r="U12" s="23" t="s">
        <v>118</v>
      </c>
      <c r="V12" s="23" t="s">
        <v>116</v>
      </c>
      <c r="W12" s="193"/>
      <c r="X12" s="193"/>
      <c r="Y12" s="193"/>
      <c r="Z12" s="193"/>
      <c r="AA12" s="23" t="s">
        <v>116</v>
      </c>
      <c r="AB12" s="23" t="s">
        <v>118</v>
      </c>
      <c r="AC12" s="23" t="s">
        <v>112</v>
      </c>
      <c r="AD12" s="24"/>
      <c r="AE12" s="24" t="s">
        <v>116</v>
      </c>
      <c r="AF12" s="24">
        <v>15</v>
      </c>
      <c r="AG12" s="24" t="s">
        <v>117</v>
      </c>
      <c r="AH12" s="24">
        <v>10</v>
      </c>
      <c r="AI12" s="202"/>
      <c r="AJ12" s="202"/>
      <c r="AK12" s="202"/>
      <c r="AL12" s="202"/>
      <c r="AM12" s="202"/>
      <c r="AN12" s="203"/>
    </row>
    <row r="13" spans="1:40">
      <c r="H13" s="74">
        <v>3</v>
      </c>
      <c r="I13" s="38"/>
      <c r="J13" s="25"/>
      <c r="K13" s="25"/>
      <c r="L13" s="25"/>
      <c r="M13" s="25"/>
      <c r="N13" s="25"/>
      <c r="O13" s="26"/>
      <c r="P13" s="27"/>
      <c r="Q13" s="28"/>
      <c r="R13" s="28"/>
      <c r="S13" s="28"/>
      <c r="T13" s="24"/>
      <c r="U13" s="24" t="s">
        <v>117</v>
      </c>
      <c r="V13" s="24"/>
      <c r="W13" s="194"/>
      <c r="X13" s="194"/>
      <c r="Y13" s="194"/>
      <c r="Z13" s="194"/>
      <c r="AA13" s="24"/>
      <c r="AB13" s="24" t="s">
        <v>117</v>
      </c>
      <c r="AC13" s="24"/>
      <c r="AD13" s="28"/>
      <c r="AE13" s="27"/>
      <c r="AF13" s="26"/>
      <c r="AG13" s="25"/>
      <c r="AH13" s="25"/>
      <c r="AI13" s="25"/>
      <c r="AJ13" s="25"/>
      <c r="AK13" s="25"/>
      <c r="AL13" s="25"/>
      <c r="AM13" s="25"/>
      <c r="AN13" s="39"/>
    </row>
    <row r="14" spans="1:40">
      <c r="H14" s="74">
        <v>4</v>
      </c>
      <c r="I14" s="29"/>
      <c r="J14" s="30"/>
      <c r="K14" s="31"/>
      <c r="X14" s="30"/>
      <c r="AM14" s="31"/>
      <c r="AN14" s="32"/>
    </row>
    <row r="15" spans="1:40">
      <c r="H15" s="74">
        <v>5</v>
      </c>
      <c r="I15" s="29"/>
      <c r="J15" s="30"/>
      <c r="K15" s="31"/>
      <c r="X15" s="30"/>
      <c r="AM15" s="31"/>
      <c r="AN15" s="32"/>
    </row>
    <row r="16" spans="1:40">
      <c r="H16" s="74">
        <v>6</v>
      </c>
      <c r="I16" s="29"/>
      <c r="J16" s="30"/>
      <c r="K16" s="31"/>
      <c r="X16" s="30"/>
      <c r="AM16" s="31"/>
      <c r="AN16" s="32"/>
    </row>
    <row r="17" spans="8:40">
      <c r="H17" s="74">
        <v>7</v>
      </c>
      <c r="I17" s="29"/>
      <c r="J17" s="30"/>
      <c r="K17" s="31"/>
      <c r="X17" s="30"/>
      <c r="AM17" s="31"/>
      <c r="AN17" s="32"/>
    </row>
    <row r="18" spans="8:40">
      <c r="H18" s="74">
        <v>8</v>
      </c>
      <c r="I18" s="29"/>
      <c r="J18" s="30"/>
      <c r="K18" s="31"/>
      <c r="X18" s="30"/>
      <c r="AM18" s="31"/>
      <c r="AN18" s="32"/>
    </row>
    <row r="19" spans="8:40">
      <c r="H19" s="74">
        <v>9</v>
      </c>
      <c r="I19" s="29"/>
      <c r="J19" s="30"/>
      <c r="K19" s="31"/>
      <c r="X19" s="30"/>
      <c r="AM19" s="31"/>
      <c r="AN19" s="32"/>
    </row>
    <row r="20" spans="8:40">
      <c r="H20" s="74">
        <v>10</v>
      </c>
      <c r="I20" s="29"/>
      <c r="J20" s="30"/>
      <c r="K20" s="31"/>
      <c r="X20" s="30"/>
      <c r="AM20" s="31"/>
      <c r="AN20" s="32"/>
    </row>
    <row r="21" spans="8:40">
      <c r="H21" s="74">
        <v>11</v>
      </c>
      <c r="I21" s="29"/>
      <c r="J21" s="30"/>
      <c r="K21" s="31"/>
      <c r="X21" s="30"/>
      <c r="AM21" s="31"/>
      <c r="AN21" s="32"/>
    </row>
    <row r="22" spans="8:40">
      <c r="H22" s="74">
        <v>12</v>
      </c>
      <c r="I22" s="29"/>
      <c r="J22" s="30"/>
      <c r="K22" s="31"/>
      <c r="X22" s="30"/>
      <c r="AM22" s="31"/>
      <c r="AN22" s="32"/>
    </row>
    <row r="23" spans="8:40">
      <c r="H23" s="74">
        <v>13</v>
      </c>
      <c r="I23" s="29"/>
      <c r="J23" s="30"/>
      <c r="K23" s="31"/>
      <c r="X23" s="30"/>
      <c r="AM23" s="31"/>
      <c r="AN23" s="32"/>
    </row>
    <row r="24" spans="8:40">
      <c r="H24" s="74">
        <v>14</v>
      </c>
      <c r="I24" s="29"/>
      <c r="J24" s="30"/>
      <c r="K24" s="31"/>
      <c r="X24" s="30"/>
      <c r="AM24" s="31"/>
      <c r="AN24" s="32"/>
    </row>
    <row r="25" spans="8:40">
      <c r="H25" s="74">
        <v>15</v>
      </c>
      <c r="I25" s="29"/>
      <c r="J25" s="30"/>
      <c r="K25" s="31"/>
      <c r="X25" s="30"/>
      <c r="AM25" s="31"/>
      <c r="AN25" s="32"/>
    </row>
    <row r="26" spans="8:40">
      <c r="H26" s="74">
        <v>16</v>
      </c>
      <c r="I26" s="29"/>
      <c r="J26" s="30"/>
      <c r="K26" s="31"/>
      <c r="X26" s="30"/>
      <c r="AM26" s="31"/>
      <c r="AN26" s="32"/>
    </row>
    <row r="27" spans="8:40">
      <c r="H27" s="74">
        <v>17</v>
      </c>
      <c r="I27" s="29"/>
      <c r="J27" s="30"/>
      <c r="K27" s="31"/>
      <c r="X27" s="30"/>
      <c r="AM27" s="31"/>
      <c r="AN27" s="32"/>
    </row>
    <row r="28" spans="8:40" ht="18.600000000000001" thickBot="1">
      <c r="H28" s="74">
        <v>18</v>
      </c>
      <c r="I28" s="33"/>
      <c r="J28" s="35"/>
      <c r="K28" s="36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5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6"/>
      <c r="AN28" s="37"/>
    </row>
  </sheetData>
  <mergeCells count="5">
    <mergeCell ref="W11:Z13"/>
    <mergeCell ref="C1:H1"/>
    <mergeCell ref="C2:H2"/>
    <mergeCell ref="I11:N12"/>
    <mergeCell ref="AI11:AN12"/>
  </mergeCells>
  <phoneticPr fontId="2"/>
  <hyperlinks>
    <hyperlink ref="A1" location="目次!A1" display="◀" xr:uid="{00000000-0004-0000-0D00-000000000000}"/>
    <hyperlink ref="C2:H2" location="メインフロー!A1" display="メインフロー" xr:uid="{00000000-0004-0000-0D00-000001000000}"/>
  </hyperlinks>
  <pageMargins left="0.7" right="0.7" top="0.75" bottom="0.75" header="0.3" footer="0.3"/>
  <pageSetup paperSize="9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6"/>
  <sheetViews>
    <sheetView topLeftCell="A10" zoomScaleNormal="100" workbookViewId="0">
      <selection activeCell="I30" sqref="I30"/>
    </sheetView>
  </sheetViews>
  <sheetFormatPr defaultRowHeight="18"/>
  <cols>
    <col min="1" max="1" width="5.19921875" bestFit="1" customWidth="1"/>
    <col min="2" max="2" width="31.69921875" bestFit="1" customWidth="1"/>
    <col min="4" max="4" width="50.5" bestFit="1" customWidth="1"/>
    <col min="5" max="6" width="6.19921875" customWidth="1"/>
    <col min="7" max="7" width="4.69921875" customWidth="1"/>
    <col min="8" max="8" width="26.59765625" customWidth="1"/>
    <col min="9" max="9" width="4.69921875" customWidth="1"/>
    <col min="11" max="11" width="4.59765625" customWidth="1"/>
    <col min="12" max="12" width="5.5" customWidth="1"/>
    <col min="13" max="14" width="8" customWidth="1"/>
    <col min="15" max="15" width="15.59765625" customWidth="1"/>
    <col min="16" max="16" width="38.09765625" bestFit="1" customWidth="1"/>
  </cols>
  <sheetData>
    <row r="1" spans="1:16" s="12" customFormat="1">
      <c r="A1" s="52" t="s">
        <v>0</v>
      </c>
      <c r="B1" s="12" t="s">
        <v>16</v>
      </c>
    </row>
    <row r="3" spans="1:16">
      <c r="B3" s="212" t="s">
        <v>120</v>
      </c>
      <c r="C3" s="212" t="s">
        <v>121</v>
      </c>
      <c r="D3" s="212" t="s">
        <v>122</v>
      </c>
      <c r="E3" s="216" t="s">
        <v>123</v>
      </c>
      <c r="F3" s="217"/>
      <c r="G3" s="212" t="s">
        <v>124</v>
      </c>
      <c r="H3" s="212" t="s">
        <v>125</v>
      </c>
      <c r="I3" s="214" t="s">
        <v>126</v>
      </c>
      <c r="J3" s="212" t="s">
        <v>127</v>
      </c>
      <c r="K3" s="205" t="s">
        <v>128</v>
      </c>
      <c r="L3" s="204" t="s">
        <v>129</v>
      </c>
      <c r="M3" s="204" t="s">
        <v>130</v>
      </c>
      <c r="N3" s="204" t="s">
        <v>131</v>
      </c>
      <c r="O3" s="204" t="s">
        <v>132</v>
      </c>
      <c r="P3" s="204" t="s">
        <v>133</v>
      </c>
    </row>
    <row r="4" spans="1:16">
      <c r="B4" s="213"/>
      <c r="C4" s="213"/>
      <c r="D4" s="213"/>
      <c r="E4" s="13" t="s">
        <v>134</v>
      </c>
      <c r="F4" s="13" t="s">
        <v>135</v>
      </c>
      <c r="G4" s="213"/>
      <c r="H4" s="213"/>
      <c r="I4" s="215"/>
      <c r="J4" s="213"/>
      <c r="K4" s="206"/>
      <c r="L4" s="204"/>
      <c r="M4" s="204"/>
      <c r="N4" s="204"/>
      <c r="O4" s="204"/>
      <c r="P4" s="204"/>
    </row>
    <row r="5" spans="1:16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B12" s="1"/>
      <c r="C12" s="1"/>
      <c r="D12" s="1"/>
      <c r="E12" s="1"/>
      <c r="F12" s="1"/>
      <c r="G12" s="1"/>
      <c r="I12" s="1"/>
      <c r="J12" s="1"/>
      <c r="K12" s="1"/>
      <c r="L12" s="1"/>
      <c r="M12" s="1"/>
      <c r="N12" s="1"/>
      <c r="O12" s="1"/>
      <c r="P12" s="1" t="s">
        <v>136</v>
      </c>
    </row>
    <row r="13" spans="1:16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 t="s">
        <v>137</v>
      </c>
    </row>
    <row r="16" spans="1:16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2:16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 t="s">
        <v>138</v>
      </c>
    </row>
    <row r="18" spans="2:16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2:16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2:16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2:16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2:16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2:16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2:16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2:16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2:16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2:16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2:16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2:16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2:16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2:16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2:16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2:16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2:16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2:16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2:16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</sheetData>
  <autoFilter ref="B3:P4" xr:uid="{00000000-0009-0000-0000-00000F000000}">
    <filterColumn colId="3" showButton="0"/>
  </autoFilter>
  <mergeCells count="14">
    <mergeCell ref="C3:C4"/>
    <mergeCell ref="B3:B4"/>
    <mergeCell ref="I3:I4"/>
    <mergeCell ref="H3:H4"/>
    <mergeCell ref="G3:G4"/>
    <mergeCell ref="E3:F3"/>
    <mergeCell ref="D3:D4"/>
    <mergeCell ref="J3:J4"/>
    <mergeCell ref="N3:N4"/>
    <mergeCell ref="O3:O4"/>
    <mergeCell ref="P3:P4"/>
    <mergeCell ref="K3:K4"/>
    <mergeCell ref="L3:L4"/>
    <mergeCell ref="M3:M4"/>
  </mergeCells>
  <phoneticPr fontId="2"/>
  <hyperlinks>
    <hyperlink ref="A1" location="目次!A1" display="◀" xr:uid="{00000000-0004-0000-0F00-000000000000}"/>
  </hyperlink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7"/>
  <sheetViews>
    <sheetView zoomScaleNormal="100" workbookViewId="0">
      <selection activeCell="H5" sqref="H5"/>
    </sheetView>
  </sheetViews>
  <sheetFormatPr defaultRowHeight="18"/>
  <cols>
    <col min="2" max="2" width="4.59765625" customWidth="1"/>
    <col min="3" max="3" width="13" bestFit="1" customWidth="1"/>
    <col min="6" max="6" width="9" style="96"/>
    <col min="7" max="7" width="37.8984375" customWidth="1"/>
    <col min="8" max="8" width="11" bestFit="1" customWidth="1"/>
    <col min="9" max="9" width="4.69921875" customWidth="1"/>
    <col min="11" max="11" width="4.59765625" customWidth="1"/>
    <col min="12" max="12" width="7.19921875" bestFit="1" customWidth="1"/>
    <col min="13" max="15" width="9.09765625" bestFit="1" customWidth="1"/>
    <col min="16" max="16" width="11" bestFit="1" customWidth="1"/>
    <col min="17" max="17" width="27" customWidth="1"/>
  </cols>
  <sheetData>
    <row r="1" spans="1:17" s="12" customFormat="1">
      <c r="A1" s="52" t="s">
        <v>0</v>
      </c>
      <c r="C1" s="12" t="s">
        <v>18</v>
      </c>
      <c r="F1" s="93"/>
    </row>
    <row r="3" spans="1:17" s="90" customFormat="1" ht="36">
      <c r="B3" s="91" t="s">
        <v>119</v>
      </c>
      <c r="C3" s="91" t="s">
        <v>120</v>
      </c>
      <c r="D3" s="91" t="s">
        <v>140</v>
      </c>
      <c r="E3" s="91" t="s">
        <v>121</v>
      </c>
      <c r="F3" s="94" t="s">
        <v>141</v>
      </c>
      <c r="G3" s="91" t="s">
        <v>142</v>
      </c>
      <c r="H3" s="91" t="s">
        <v>125</v>
      </c>
      <c r="I3" s="92" t="s">
        <v>143</v>
      </c>
      <c r="J3" s="91" t="s">
        <v>127</v>
      </c>
      <c r="K3" s="92" t="s">
        <v>144</v>
      </c>
      <c r="L3" s="91" t="s">
        <v>129</v>
      </c>
      <c r="M3" s="91" t="s">
        <v>130</v>
      </c>
      <c r="N3" s="91" t="s">
        <v>145</v>
      </c>
      <c r="O3" s="91" t="s">
        <v>131</v>
      </c>
      <c r="P3" s="91" t="s">
        <v>132</v>
      </c>
      <c r="Q3" s="91" t="s">
        <v>133</v>
      </c>
    </row>
    <row r="4" spans="1:17">
      <c r="B4" s="1">
        <v>1</v>
      </c>
      <c r="C4" s="1"/>
      <c r="D4" s="1"/>
      <c r="E4" s="1"/>
      <c r="F4" s="95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>
      <c r="B5" s="1">
        <v>2</v>
      </c>
      <c r="C5" s="1"/>
      <c r="D5" s="1"/>
      <c r="E5" s="1"/>
      <c r="F5" s="95"/>
      <c r="H5" s="97"/>
      <c r="I5" s="1"/>
      <c r="J5" s="1"/>
      <c r="K5" s="1"/>
      <c r="L5" s="1"/>
      <c r="M5" s="1"/>
      <c r="N5" s="1"/>
      <c r="O5" s="1"/>
      <c r="P5" s="1"/>
      <c r="Q5" s="1"/>
    </row>
    <row r="6" spans="1:17">
      <c r="B6" s="1">
        <v>3</v>
      </c>
      <c r="C6" s="1"/>
      <c r="D6" s="1"/>
      <c r="E6" s="1"/>
      <c r="F6" s="95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>
      <c r="B7" s="1">
        <v>4</v>
      </c>
      <c r="C7" s="1"/>
      <c r="D7" s="1"/>
      <c r="E7" s="1"/>
      <c r="F7" s="95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>
      <c r="B8" s="1">
        <v>5</v>
      </c>
      <c r="C8" s="1"/>
      <c r="D8" s="1"/>
      <c r="E8" s="1"/>
      <c r="F8" s="95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>
      <c r="B9" s="1">
        <v>6</v>
      </c>
      <c r="C9" s="1"/>
      <c r="D9" s="1"/>
      <c r="E9" s="1"/>
      <c r="F9" s="95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>
      <c r="B10" s="1">
        <v>7</v>
      </c>
      <c r="C10" s="1"/>
      <c r="D10" s="1"/>
      <c r="E10" s="1"/>
      <c r="F10" s="9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>
      <c r="B11" s="1">
        <v>8</v>
      </c>
      <c r="C11" s="1"/>
      <c r="D11" s="1"/>
      <c r="E11" s="1"/>
      <c r="F11" s="9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>
      <c r="B12" s="1"/>
      <c r="C12" s="1"/>
      <c r="D12" s="1"/>
      <c r="E12" s="1"/>
      <c r="F12" s="9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>
      <c r="B13" s="1"/>
      <c r="C13" s="1"/>
      <c r="D13" s="1"/>
      <c r="E13" s="1"/>
      <c r="F13" s="9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>
      <c r="B14" s="1"/>
      <c r="C14" s="1"/>
      <c r="D14" s="1"/>
      <c r="E14" s="1"/>
      <c r="F14" s="9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>
      <c r="B15" s="1"/>
      <c r="C15" s="1"/>
      <c r="D15" s="1"/>
      <c r="E15" s="1"/>
      <c r="F15" s="9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>
      <c r="B16" s="1"/>
      <c r="C16" s="1"/>
      <c r="D16" s="1"/>
      <c r="E16" s="1"/>
      <c r="F16" s="9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2:17">
      <c r="B17" s="1"/>
      <c r="C17" s="1"/>
      <c r="D17" s="1"/>
      <c r="E17" s="1"/>
      <c r="F17" s="95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2:17">
      <c r="B18" s="1"/>
      <c r="C18" s="1"/>
      <c r="D18" s="1"/>
      <c r="E18" s="1"/>
      <c r="F18" s="9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2:17">
      <c r="B19" s="1"/>
      <c r="C19" s="1"/>
      <c r="D19" s="1"/>
      <c r="E19" s="1"/>
      <c r="F19" s="9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2:17">
      <c r="B20" s="1"/>
      <c r="C20" s="1"/>
      <c r="D20" s="1"/>
      <c r="E20" s="1"/>
      <c r="F20" s="95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2:17">
      <c r="B21" s="1"/>
      <c r="C21" s="1"/>
      <c r="D21" s="1"/>
      <c r="E21" s="1"/>
      <c r="F21" s="9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2:17">
      <c r="B22" s="1"/>
      <c r="C22" s="1"/>
      <c r="D22" s="1"/>
      <c r="E22" s="1"/>
      <c r="F22" s="95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2:17">
      <c r="B23" s="1"/>
      <c r="C23" s="1"/>
      <c r="D23" s="1"/>
      <c r="E23" s="1"/>
      <c r="F23" s="9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2:17">
      <c r="B24" s="1"/>
      <c r="C24" s="1"/>
      <c r="D24" s="1"/>
      <c r="E24" s="1"/>
      <c r="F24" s="95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2:17">
      <c r="B25" s="1"/>
      <c r="C25" s="1"/>
      <c r="D25" s="1"/>
      <c r="E25" s="1"/>
      <c r="F25" s="95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2:17">
      <c r="B26" s="1"/>
      <c r="C26" s="1"/>
      <c r="D26" s="1"/>
      <c r="E26" s="1"/>
      <c r="F26" s="95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2:17">
      <c r="B27" s="1"/>
      <c r="C27" s="1"/>
      <c r="D27" s="1"/>
      <c r="E27" s="1"/>
      <c r="F27" s="95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</sheetData>
  <autoFilter ref="B3:Q3" xr:uid="{00000000-0009-0000-0000-00000E000000}"/>
  <phoneticPr fontId="2"/>
  <hyperlinks>
    <hyperlink ref="A1" location="目次!A1" display="◀" xr:uid="{00000000-0004-0000-0E00-000000000000}"/>
  </hyperlinks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8"/>
  <sheetViews>
    <sheetView topLeftCell="E13" workbookViewId="0">
      <selection activeCell="J4" sqref="J4"/>
    </sheetView>
  </sheetViews>
  <sheetFormatPr defaultRowHeight="18"/>
  <cols>
    <col min="1" max="1" width="5.19921875" bestFit="1" customWidth="1"/>
    <col min="2" max="2" width="3.3984375" bestFit="1" customWidth="1"/>
    <col min="3" max="3" width="13" bestFit="1" customWidth="1"/>
    <col min="4" max="4" width="56.69921875" bestFit="1" customWidth="1"/>
    <col min="5" max="5" width="13.59765625" bestFit="1" customWidth="1"/>
    <col min="7" max="7" width="3.3984375" bestFit="1" customWidth="1"/>
    <col min="8" max="8" width="14.3984375" bestFit="1" customWidth="1"/>
    <col min="9" max="9" width="19.19921875" bestFit="1" customWidth="1"/>
    <col min="10" max="10" width="102.5" bestFit="1" customWidth="1"/>
  </cols>
  <sheetData>
    <row r="1" spans="1:10" s="12" customFormat="1">
      <c r="A1" s="52" t="s">
        <v>0</v>
      </c>
      <c r="C1" s="121" t="s">
        <v>146</v>
      </c>
      <c r="D1" s="121"/>
      <c r="E1" s="121"/>
      <c r="F1" s="121"/>
      <c r="G1" s="121"/>
    </row>
    <row r="3" spans="1:10">
      <c r="C3" s="101" t="s">
        <v>147</v>
      </c>
      <c r="D3" s="101"/>
      <c r="E3" s="101" t="s">
        <v>148</v>
      </c>
      <c r="H3" s="101" t="s">
        <v>149</v>
      </c>
      <c r="I3" s="101"/>
      <c r="J3" s="101"/>
    </row>
    <row r="4" spans="1:10">
      <c r="B4" t="s">
        <v>2</v>
      </c>
      <c r="C4" s="1"/>
      <c r="D4" s="1"/>
      <c r="E4" s="1"/>
      <c r="G4" t="s">
        <v>2</v>
      </c>
      <c r="H4" s="1"/>
      <c r="I4" s="1"/>
      <c r="J4" s="1"/>
    </row>
    <row r="5" spans="1:10">
      <c r="B5" t="s">
        <v>2</v>
      </c>
      <c r="C5" s="1"/>
      <c r="D5" s="1"/>
      <c r="E5" s="1"/>
      <c r="G5" t="s">
        <v>2</v>
      </c>
      <c r="H5" s="1"/>
      <c r="I5" s="1"/>
      <c r="J5" s="1"/>
    </row>
    <row r="6" spans="1:10">
      <c r="B6" t="s">
        <v>2</v>
      </c>
      <c r="C6" s="1"/>
      <c r="D6" s="1"/>
      <c r="E6" s="1"/>
      <c r="G6" t="s">
        <v>2</v>
      </c>
      <c r="H6" s="1"/>
      <c r="I6" s="1"/>
      <c r="J6" s="1"/>
    </row>
    <row r="7" spans="1:10">
      <c r="B7" t="s">
        <v>2</v>
      </c>
      <c r="C7" s="1"/>
      <c r="D7" s="1"/>
      <c r="E7" s="1"/>
      <c r="G7" t="s">
        <v>2</v>
      </c>
      <c r="H7" s="1"/>
      <c r="I7" s="1"/>
      <c r="J7" s="1"/>
    </row>
    <row r="8" spans="1:10">
      <c r="B8" t="s">
        <v>2</v>
      </c>
      <c r="C8" s="1"/>
      <c r="D8" s="1"/>
      <c r="E8" s="1"/>
      <c r="G8" t="s">
        <v>2</v>
      </c>
      <c r="H8" s="1"/>
      <c r="I8" s="1"/>
      <c r="J8" s="1"/>
    </row>
    <row r="9" spans="1:10">
      <c r="B9" t="s">
        <v>2</v>
      </c>
      <c r="C9" s="1"/>
      <c r="D9" s="1"/>
      <c r="E9" s="1"/>
      <c r="G9" t="s">
        <v>2</v>
      </c>
      <c r="H9" s="1"/>
      <c r="I9" s="1"/>
      <c r="J9" s="1"/>
    </row>
    <row r="10" spans="1:10">
      <c r="B10" t="s">
        <v>2</v>
      </c>
      <c r="C10" s="1"/>
      <c r="D10" s="1"/>
      <c r="E10" s="1"/>
      <c r="G10" t="s">
        <v>2</v>
      </c>
      <c r="H10" s="1"/>
      <c r="I10" s="1"/>
      <c r="J10" s="1"/>
    </row>
    <row r="11" spans="1:10">
      <c r="B11" t="s">
        <v>2</v>
      </c>
      <c r="C11" s="1"/>
      <c r="D11" s="1"/>
      <c r="E11" s="1"/>
      <c r="G11" t="s">
        <v>2</v>
      </c>
      <c r="H11" s="1"/>
      <c r="I11" s="1"/>
      <c r="J11" s="1"/>
    </row>
    <row r="12" spans="1:10">
      <c r="B12" t="s">
        <v>2</v>
      </c>
      <c r="C12" s="1"/>
      <c r="D12" s="1"/>
      <c r="E12" s="1"/>
      <c r="G12" t="s">
        <v>2</v>
      </c>
      <c r="H12" s="1"/>
      <c r="I12" s="1"/>
      <c r="J12" s="1"/>
    </row>
    <row r="13" spans="1:10">
      <c r="B13" t="s">
        <v>2</v>
      </c>
      <c r="C13" s="1"/>
      <c r="D13" s="1"/>
      <c r="E13" s="1"/>
      <c r="G13" t="s">
        <v>2</v>
      </c>
      <c r="H13" s="1"/>
      <c r="I13" s="1"/>
      <c r="J13" s="1"/>
    </row>
    <row r="14" spans="1:10">
      <c r="B14" t="s">
        <v>2</v>
      </c>
      <c r="C14" s="1"/>
      <c r="D14" s="1"/>
      <c r="E14" s="1"/>
      <c r="G14" t="s">
        <v>2</v>
      </c>
      <c r="H14" s="1"/>
      <c r="I14" s="1"/>
      <c r="J14" s="1"/>
    </row>
    <row r="15" spans="1:10">
      <c r="C15" s="1"/>
      <c r="D15" s="1"/>
      <c r="E15" s="1"/>
      <c r="H15" s="1"/>
      <c r="I15" s="1"/>
      <c r="J15" s="1"/>
    </row>
    <row r="16" spans="1:10">
      <c r="C16" s="1"/>
      <c r="D16" s="1"/>
      <c r="E16" s="1"/>
      <c r="H16" s="1"/>
      <c r="I16" s="1"/>
      <c r="J16" s="1"/>
    </row>
    <row r="17" spans="3:10">
      <c r="C17" s="1"/>
      <c r="D17" s="1"/>
      <c r="E17" s="1"/>
      <c r="H17" s="1"/>
      <c r="I17" s="1"/>
      <c r="J17" s="1"/>
    </row>
    <row r="18" spans="3:10">
      <c r="C18" s="1"/>
      <c r="D18" s="1"/>
      <c r="E18" s="1"/>
      <c r="H18" s="1"/>
      <c r="I18" s="1"/>
      <c r="J18" s="1"/>
    </row>
    <row r="19" spans="3:10">
      <c r="C19" s="1"/>
      <c r="D19" s="1"/>
      <c r="E19" s="1"/>
      <c r="H19" s="1"/>
      <c r="I19" s="1"/>
      <c r="J19" s="1"/>
    </row>
    <row r="20" spans="3:10">
      <c r="C20" s="1"/>
      <c r="D20" s="1"/>
      <c r="E20" s="1"/>
      <c r="H20" s="1"/>
      <c r="I20" s="1"/>
      <c r="J20" s="1"/>
    </row>
    <row r="21" spans="3:10">
      <c r="C21" s="1"/>
      <c r="D21" s="1"/>
      <c r="E21" s="1"/>
      <c r="H21" s="1"/>
      <c r="I21" s="1"/>
      <c r="J21" s="1"/>
    </row>
    <row r="22" spans="3:10">
      <c r="C22" s="1"/>
      <c r="D22" s="1"/>
      <c r="E22" s="1"/>
      <c r="H22" s="1"/>
      <c r="I22" s="1"/>
      <c r="J22" s="1"/>
    </row>
    <row r="23" spans="3:10">
      <c r="C23" s="1"/>
      <c r="D23" s="1"/>
      <c r="E23" s="1"/>
      <c r="H23" s="1"/>
      <c r="I23" s="1"/>
      <c r="J23" s="1"/>
    </row>
    <row r="24" spans="3:10">
      <c r="C24" s="1"/>
      <c r="D24" s="1"/>
      <c r="E24" s="1"/>
      <c r="H24" s="1"/>
      <c r="I24" s="1"/>
      <c r="J24" s="1"/>
    </row>
    <row r="25" spans="3:10">
      <c r="C25" s="1"/>
      <c r="D25" s="1"/>
      <c r="E25" s="1"/>
      <c r="H25" s="1"/>
      <c r="I25" s="1"/>
      <c r="J25" s="1"/>
    </row>
    <row r="26" spans="3:10">
      <c r="C26" s="1"/>
      <c r="D26" s="1"/>
      <c r="E26" s="1"/>
      <c r="H26" s="1"/>
      <c r="I26" s="1"/>
      <c r="J26" s="1"/>
    </row>
    <row r="27" spans="3:10">
      <c r="C27" s="1"/>
      <c r="D27" s="1"/>
      <c r="E27" s="1"/>
      <c r="H27" s="1"/>
      <c r="I27" s="1"/>
      <c r="J27" s="1"/>
    </row>
    <row r="28" spans="3:10">
      <c r="C28" s="1"/>
      <c r="D28" s="1"/>
      <c r="E28" s="1"/>
      <c r="H28" s="1"/>
      <c r="I28" s="1"/>
      <c r="J28" s="1"/>
    </row>
  </sheetData>
  <mergeCells count="1">
    <mergeCell ref="C1:G1"/>
  </mergeCells>
  <phoneticPr fontId="2"/>
  <hyperlinks>
    <hyperlink ref="A1" location="目次!A1" display="◀" xr:uid="{00000000-0004-0000-10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0"/>
  <sheetViews>
    <sheetView topLeftCell="A2" workbookViewId="0">
      <selection activeCell="H4" sqref="H4"/>
    </sheetView>
  </sheetViews>
  <sheetFormatPr defaultColWidth="9" defaultRowHeight="18" customHeight="1"/>
  <cols>
    <col min="1" max="1" width="5.19921875" style="20" bestFit="1" customWidth="1"/>
    <col min="2" max="2" width="4.59765625" style="20" customWidth="1"/>
    <col min="3" max="3" width="31.19921875" style="20" bestFit="1" customWidth="1"/>
    <col min="4" max="4" width="5.19921875" style="20" bestFit="1" customWidth="1"/>
    <col min="5" max="7" width="7.09765625" style="20" customWidth="1"/>
    <col min="8" max="8" width="85.09765625" style="20" bestFit="1" customWidth="1"/>
    <col min="9" max="16384" width="9" style="20"/>
  </cols>
  <sheetData>
    <row r="1" spans="1:8" s="12" customFormat="1">
      <c r="A1" s="52" t="s">
        <v>0</v>
      </c>
      <c r="B1" s="52"/>
      <c r="C1" s="11" t="s">
        <v>150</v>
      </c>
    </row>
    <row r="3" spans="1:8" ht="18" customHeight="1">
      <c r="C3" s="102" t="s">
        <v>151</v>
      </c>
      <c r="D3" s="102" t="s">
        <v>152</v>
      </c>
      <c r="E3" s="102" t="s">
        <v>153</v>
      </c>
      <c r="F3" s="102" t="s">
        <v>154</v>
      </c>
      <c r="G3" s="102" t="s">
        <v>155</v>
      </c>
      <c r="H3" s="102" t="s">
        <v>156</v>
      </c>
    </row>
    <row r="4" spans="1:8" ht="18" customHeight="1">
      <c r="C4" s="21"/>
      <c r="D4" s="21"/>
      <c r="E4" s="21"/>
      <c r="F4" s="21"/>
      <c r="G4" s="21"/>
      <c r="H4" s="21"/>
    </row>
    <row r="5" spans="1:8" ht="18" customHeight="1">
      <c r="C5" s="21"/>
      <c r="D5" s="21"/>
      <c r="E5" s="21"/>
      <c r="F5" s="21"/>
      <c r="G5" s="21"/>
      <c r="H5" s="21"/>
    </row>
    <row r="6" spans="1:8" ht="18" customHeight="1">
      <c r="C6" s="21"/>
      <c r="D6" s="21"/>
      <c r="E6" s="21"/>
      <c r="F6" s="21"/>
      <c r="G6" s="21"/>
      <c r="H6" s="21"/>
    </row>
    <row r="7" spans="1:8" ht="18" customHeight="1">
      <c r="C7" s="21"/>
      <c r="D7" s="21"/>
      <c r="E7" s="21"/>
      <c r="F7" s="21"/>
      <c r="G7" s="21"/>
      <c r="H7" s="21"/>
    </row>
    <row r="8" spans="1:8" ht="18" customHeight="1">
      <c r="C8" s="21"/>
      <c r="D8" s="21"/>
      <c r="E8" s="21"/>
      <c r="F8" s="21"/>
      <c r="G8" s="21"/>
      <c r="H8" s="21"/>
    </row>
    <row r="9" spans="1:8" ht="18" customHeight="1">
      <c r="C9" s="21"/>
      <c r="D9" s="21"/>
      <c r="E9" s="21"/>
      <c r="F9" s="21"/>
      <c r="G9" s="21"/>
      <c r="H9" s="21"/>
    </row>
    <row r="10" spans="1:8" ht="18" customHeight="1">
      <c r="C10" s="21"/>
      <c r="D10" s="21"/>
      <c r="E10" s="21"/>
      <c r="F10" s="21"/>
      <c r="G10" s="21"/>
      <c r="H10" s="21"/>
    </row>
    <row r="11" spans="1:8" ht="18" customHeight="1">
      <c r="C11" s="21"/>
      <c r="D11" s="21"/>
      <c r="E11" s="21"/>
      <c r="F11" s="21"/>
      <c r="G11" s="21"/>
      <c r="H11" s="21"/>
    </row>
    <row r="12" spans="1:8" ht="18" customHeight="1">
      <c r="C12" s="21"/>
      <c r="D12" s="21"/>
      <c r="E12" s="21"/>
      <c r="F12" s="21"/>
      <c r="G12" s="21"/>
      <c r="H12" s="21"/>
    </row>
    <row r="13" spans="1:8" ht="18" customHeight="1">
      <c r="C13" s="103"/>
      <c r="D13" s="21"/>
      <c r="E13" s="21"/>
      <c r="F13" s="21"/>
      <c r="G13" s="21"/>
      <c r="H13" s="103"/>
    </row>
    <row r="14" spans="1:8" ht="18" customHeight="1">
      <c r="C14" s="21"/>
      <c r="D14" s="21"/>
      <c r="E14" s="21"/>
      <c r="F14" s="21"/>
      <c r="G14" s="21"/>
      <c r="H14" s="21"/>
    </row>
    <row r="15" spans="1:8" ht="18" customHeight="1">
      <c r="C15" s="103"/>
      <c r="D15" s="21"/>
      <c r="E15" s="21"/>
      <c r="F15" s="21"/>
      <c r="G15" s="21"/>
      <c r="H15" s="103"/>
    </row>
    <row r="16" spans="1:8" ht="18" customHeight="1">
      <c r="C16" s="21"/>
      <c r="D16" s="21"/>
      <c r="E16" s="21"/>
      <c r="F16" s="21"/>
      <c r="G16" s="21"/>
      <c r="H16" s="21"/>
    </row>
    <row r="17" spans="3:8" ht="18" customHeight="1">
      <c r="C17" s="21"/>
      <c r="D17" s="21"/>
      <c r="E17" s="21"/>
      <c r="F17" s="21"/>
      <c r="G17" s="21"/>
      <c r="H17" s="21"/>
    </row>
    <row r="18" spans="3:8" ht="18" customHeight="1">
      <c r="C18" s="21"/>
      <c r="D18" s="21"/>
      <c r="E18" s="21"/>
      <c r="F18" s="21"/>
      <c r="G18" s="21"/>
      <c r="H18" s="21"/>
    </row>
    <row r="19" spans="3:8" ht="18" customHeight="1">
      <c r="C19" s="21"/>
      <c r="D19" s="21"/>
      <c r="E19" s="21"/>
      <c r="F19" s="21"/>
      <c r="G19" s="21"/>
      <c r="H19" s="21"/>
    </row>
    <row r="20" spans="3:8" ht="18" customHeight="1">
      <c r="C20" s="21"/>
      <c r="D20" s="21"/>
      <c r="E20" s="21"/>
      <c r="F20" s="21"/>
      <c r="G20" s="21"/>
      <c r="H20" s="21"/>
    </row>
    <row r="21" spans="3:8" ht="18" customHeight="1">
      <c r="C21" s="21"/>
      <c r="D21" s="21"/>
      <c r="E21" s="21"/>
      <c r="F21" s="21"/>
      <c r="G21" s="21"/>
      <c r="H21" s="103"/>
    </row>
    <row r="22" spans="3:8" ht="18" customHeight="1">
      <c r="C22" s="103"/>
      <c r="D22" s="103"/>
      <c r="E22" s="21"/>
      <c r="F22" s="21"/>
      <c r="G22" s="21"/>
      <c r="H22" s="103"/>
    </row>
    <row r="23" spans="3:8" ht="18" customHeight="1">
      <c r="C23" s="21"/>
      <c r="D23" s="21"/>
      <c r="E23" s="21"/>
      <c r="F23" s="21"/>
      <c r="G23" s="21"/>
      <c r="H23" s="21"/>
    </row>
    <row r="24" spans="3:8" ht="18" customHeight="1">
      <c r="C24" s="21"/>
      <c r="D24" s="21"/>
      <c r="E24" s="21"/>
      <c r="F24" s="21"/>
      <c r="G24" s="21"/>
      <c r="H24" s="103"/>
    </row>
    <row r="25" spans="3:8" ht="18" customHeight="1">
      <c r="C25" s="21"/>
      <c r="D25" s="21"/>
      <c r="E25" s="21"/>
      <c r="F25" s="21"/>
      <c r="G25" s="21"/>
      <c r="H25" s="21"/>
    </row>
    <row r="26" spans="3:8" ht="18" customHeight="1">
      <c r="C26" s="21"/>
      <c r="D26" s="21"/>
      <c r="E26" s="21"/>
      <c r="F26" s="21"/>
      <c r="G26" s="21"/>
      <c r="H26" s="21"/>
    </row>
    <row r="27" spans="3:8" ht="18" customHeight="1">
      <c r="C27" s="21"/>
      <c r="D27" s="21"/>
      <c r="E27" s="21"/>
      <c r="F27" s="21"/>
      <c r="G27" s="21"/>
      <c r="H27" s="21"/>
    </row>
    <row r="28" spans="3:8" ht="18" customHeight="1">
      <c r="C28" s="21"/>
      <c r="D28" s="21"/>
      <c r="E28" s="21"/>
      <c r="F28" s="21"/>
      <c r="G28" s="21"/>
      <c r="H28" s="21"/>
    </row>
    <row r="29" spans="3:8" ht="18" customHeight="1">
      <c r="C29" s="21"/>
      <c r="D29" s="21"/>
      <c r="E29" s="21"/>
      <c r="F29" s="21"/>
      <c r="G29" s="21"/>
      <c r="H29" s="21"/>
    </row>
    <row r="30" spans="3:8" ht="18" customHeight="1">
      <c r="C30" s="103"/>
      <c r="D30" s="103"/>
      <c r="E30" s="21"/>
      <c r="F30" s="21"/>
      <c r="G30" s="21"/>
      <c r="H30" s="21"/>
    </row>
    <row r="31" spans="3:8" ht="18" customHeight="1">
      <c r="C31" s="103"/>
      <c r="D31" s="103"/>
      <c r="E31" s="21"/>
      <c r="F31" s="21"/>
      <c r="G31" s="21"/>
      <c r="H31" s="21"/>
    </row>
    <row r="32" spans="3:8" ht="18" customHeight="1">
      <c r="C32" s="21"/>
      <c r="D32" s="21"/>
      <c r="E32" s="21">
        <v>0</v>
      </c>
      <c r="F32" s="21">
        <v>0</v>
      </c>
      <c r="G32" s="21">
        <v>3</v>
      </c>
      <c r="H32" s="21" t="s">
        <v>157</v>
      </c>
    </row>
    <row r="33" spans="3:8" ht="18" customHeight="1">
      <c r="C33" s="103"/>
      <c r="D33" s="103"/>
      <c r="E33" s="21"/>
      <c r="F33" s="21"/>
      <c r="G33" s="21"/>
      <c r="H33" s="21"/>
    </row>
    <row r="34" spans="3:8" ht="18" customHeight="1">
      <c r="C34" s="103"/>
      <c r="D34" s="103"/>
      <c r="E34" s="21">
        <v>0</v>
      </c>
      <c r="F34" s="21"/>
      <c r="G34" s="21"/>
      <c r="H34" s="103" t="s">
        <v>158</v>
      </c>
    </row>
    <row r="35" spans="3:8" ht="18" customHeight="1">
      <c r="C35" s="103"/>
      <c r="D35" s="103"/>
      <c r="E35" s="21"/>
      <c r="F35" s="21"/>
      <c r="G35" s="21"/>
      <c r="H35" s="103" t="s">
        <v>159</v>
      </c>
    </row>
    <row r="36" spans="3:8" ht="18" customHeight="1">
      <c r="C36" s="103"/>
      <c r="D36" s="103"/>
      <c r="E36" s="21">
        <v>0</v>
      </c>
      <c r="F36" s="21"/>
      <c r="G36" s="21"/>
      <c r="H36" s="103" t="s">
        <v>160</v>
      </c>
    </row>
    <row r="37" spans="3:8" ht="18" customHeight="1">
      <c r="C37" s="21"/>
      <c r="D37" s="21"/>
      <c r="E37" s="21"/>
      <c r="F37" s="21"/>
      <c r="G37" s="21"/>
      <c r="H37" s="21"/>
    </row>
    <row r="38" spans="3:8" ht="18" customHeight="1">
      <c r="C38" s="21"/>
      <c r="D38" s="21"/>
      <c r="E38" s="21"/>
      <c r="F38" s="21"/>
      <c r="G38" s="21"/>
      <c r="H38" s="21"/>
    </row>
    <row r="39" spans="3:8" ht="18" customHeight="1">
      <c r="C39" s="21"/>
      <c r="D39" s="21"/>
      <c r="E39" s="21"/>
      <c r="F39" s="21"/>
      <c r="G39" s="21"/>
      <c r="H39" s="21"/>
    </row>
    <row r="40" spans="3:8" ht="18" customHeight="1">
      <c r="C40" s="21"/>
      <c r="D40" s="21"/>
      <c r="E40" s="21"/>
      <c r="F40" s="21"/>
      <c r="G40" s="21"/>
      <c r="H40" s="21"/>
    </row>
  </sheetData>
  <autoFilter ref="C3:H3" xr:uid="{00000000-0009-0000-0000-000011000000}"/>
  <phoneticPr fontId="2"/>
  <hyperlinks>
    <hyperlink ref="A1" location="目次!A1" display="◀" xr:uid="{00000000-0004-0000-1100-000000000000}"/>
  </hyperlinks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"/>
  <sheetViews>
    <sheetView topLeftCell="A13" workbookViewId="0">
      <selection activeCell="F8" sqref="F8"/>
    </sheetView>
  </sheetViews>
  <sheetFormatPr defaultRowHeight="18"/>
  <cols>
    <col min="1" max="1" width="5.19921875" bestFit="1" customWidth="1"/>
  </cols>
  <sheetData>
    <row r="1" spans="1:6" s="12" customFormat="1">
      <c r="A1" s="54" t="s">
        <v>0</v>
      </c>
      <c r="C1" s="167" t="s">
        <v>161</v>
      </c>
      <c r="D1" s="167"/>
      <c r="E1" s="167"/>
      <c r="F1" s="11"/>
    </row>
  </sheetData>
  <mergeCells count="1">
    <mergeCell ref="C1:E1"/>
  </mergeCells>
  <phoneticPr fontId="2"/>
  <hyperlinks>
    <hyperlink ref="A1" location="目次!A1" display="◀" xr:uid="{00000000-0004-0000-12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36"/>
  <sheetViews>
    <sheetView tabSelected="1" workbookViewId="0"/>
  </sheetViews>
  <sheetFormatPr defaultRowHeight="18"/>
  <cols>
    <col min="1" max="1" width="5.19921875" bestFit="1" customWidth="1"/>
    <col min="2" max="2" width="3.3984375" bestFit="1" customWidth="1"/>
    <col min="3" max="3" width="5.5" bestFit="1" customWidth="1"/>
    <col min="4" max="4" width="3.3984375" bestFit="1" customWidth="1"/>
    <col min="5" max="5" width="9" bestFit="1" customWidth="1"/>
    <col min="6" max="6" width="5.19921875" bestFit="1" customWidth="1"/>
    <col min="7" max="7" width="31.69921875" bestFit="1" customWidth="1"/>
  </cols>
  <sheetData>
    <row r="1" spans="1:9" s="12" customFormat="1">
      <c r="A1" s="54" t="s">
        <v>0</v>
      </c>
      <c r="C1" s="167" t="s">
        <v>162</v>
      </c>
      <c r="D1" s="167"/>
      <c r="E1" s="167"/>
    </row>
    <row r="3" spans="1:9">
      <c r="C3" s="207" t="s">
        <v>162</v>
      </c>
      <c r="D3" s="207"/>
      <c r="E3" s="207"/>
    </row>
    <row r="4" spans="1:9">
      <c r="B4" s="209" t="s">
        <v>163</v>
      </c>
      <c r="C4" s="209"/>
      <c r="D4" s="73"/>
      <c r="E4" s="73"/>
    </row>
    <row r="5" spans="1:9">
      <c r="B5" s="208" t="s">
        <v>164</v>
      </c>
      <c r="C5" s="208"/>
      <c r="D5" s="1" t="s">
        <v>165</v>
      </c>
      <c r="E5" s="1" t="s">
        <v>166</v>
      </c>
      <c r="F5" s="1" t="s">
        <v>167</v>
      </c>
      <c r="G5" s="1" t="s">
        <v>122</v>
      </c>
      <c r="H5" s="1" t="s">
        <v>168</v>
      </c>
      <c r="I5" s="1"/>
    </row>
    <row r="6" spans="1:9">
      <c r="B6" s="1" t="str">
        <f>IF(C6="","","・")</f>
        <v>・</v>
      </c>
      <c r="C6" s="10">
        <v>0</v>
      </c>
      <c r="D6" s="1" t="str">
        <f>IF(F6&gt;1,"～","")</f>
        <v>～</v>
      </c>
      <c r="E6" s="1">
        <f>IF(F6&gt;1,C6+F6-1,"")</f>
        <v>99</v>
      </c>
      <c r="F6" s="1">
        <v>100</v>
      </c>
      <c r="G6" s="1" t="s">
        <v>169</v>
      </c>
      <c r="H6" s="1"/>
      <c r="I6" s="1"/>
    </row>
    <row r="7" spans="1:9">
      <c r="B7" s="1" t="str">
        <f t="shared" ref="B7:B36" si="0">IF(C7="","","・")</f>
        <v>・</v>
      </c>
      <c r="C7" s="1">
        <v>100</v>
      </c>
      <c r="D7" s="1" t="str">
        <f t="shared" ref="D7:D11" si="1">IF(F7&gt;1,"～","")</f>
        <v>～</v>
      </c>
      <c r="E7" s="1">
        <f t="shared" ref="E7:E11" si="2">IF(F7&gt;1,C7+F7-1,"")</f>
        <v>199</v>
      </c>
      <c r="F7" s="1">
        <v>100</v>
      </c>
      <c r="G7" s="1" t="s">
        <v>170</v>
      </c>
      <c r="H7" s="1">
        <v>7140</v>
      </c>
      <c r="I7" s="1"/>
    </row>
    <row r="8" spans="1:9">
      <c r="B8" s="1" t="str">
        <f t="shared" si="0"/>
        <v>・</v>
      </c>
      <c r="C8" s="1">
        <v>200</v>
      </c>
      <c r="D8" s="1" t="str">
        <f t="shared" si="1"/>
        <v>～</v>
      </c>
      <c r="E8" s="1">
        <f t="shared" si="2"/>
        <v>299</v>
      </c>
      <c r="F8" s="1">
        <v>100</v>
      </c>
      <c r="G8" s="1" t="s">
        <v>171</v>
      </c>
      <c r="H8" s="1"/>
      <c r="I8" s="1"/>
    </row>
    <row r="9" spans="1:9">
      <c r="B9" s="1" t="str">
        <f t="shared" si="0"/>
        <v>・</v>
      </c>
      <c r="C9" s="1">
        <v>300</v>
      </c>
      <c r="D9" s="1" t="str">
        <f t="shared" si="1"/>
        <v>～</v>
      </c>
      <c r="E9" s="1">
        <f t="shared" si="2"/>
        <v>399</v>
      </c>
      <c r="F9" s="1">
        <v>100</v>
      </c>
      <c r="G9" s="1" t="s">
        <v>172</v>
      </c>
      <c r="H9" s="1">
        <v>7140</v>
      </c>
      <c r="I9" s="1"/>
    </row>
    <row r="10" spans="1:9">
      <c r="B10" s="1" t="str">
        <f t="shared" si="0"/>
        <v>・</v>
      </c>
      <c r="C10" s="1">
        <v>500</v>
      </c>
      <c r="D10" s="1" t="str">
        <f t="shared" si="1"/>
        <v/>
      </c>
      <c r="E10" s="1" t="str">
        <f t="shared" si="2"/>
        <v/>
      </c>
      <c r="F10" s="1"/>
      <c r="G10" s="1" t="s">
        <v>173</v>
      </c>
      <c r="H10" s="1">
        <v>262</v>
      </c>
      <c r="I10" s="1"/>
    </row>
    <row r="11" spans="1:9">
      <c r="B11" s="1" t="str">
        <f t="shared" si="0"/>
        <v>・</v>
      </c>
      <c r="C11" s="1">
        <v>501</v>
      </c>
      <c r="D11" s="1" t="str">
        <f t="shared" si="1"/>
        <v/>
      </c>
      <c r="E11" s="1" t="str">
        <f t="shared" si="2"/>
        <v/>
      </c>
      <c r="F11" s="1"/>
      <c r="G11" s="1" t="s">
        <v>174</v>
      </c>
      <c r="H11" s="1">
        <v>211</v>
      </c>
      <c r="I11" s="1"/>
    </row>
    <row r="12" spans="1:9">
      <c r="B12" s="1" t="str">
        <f t="shared" si="0"/>
        <v>・</v>
      </c>
      <c r="C12" s="1">
        <v>502</v>
      </c>
      <c r="D12" s="1" t="str">
        <f t="shared" ref="D12:D13" si="3">IF(F12&gt;1,"～","")</f>
        <v/>
      </c>
      <c r="E12" s="1" t="str">
        <f t="shared" ref="E12:E13" si="4">IF(F12&gt;1,C12+F12-1,"")</f>
        <v/>
      </c>
      <c r="F12" s="1"/>
      <c r="G12" s="1" t="s">
        <v>175</v>
      </c>
      <c r="H12" s="1">
        <v>239</v>
      </c>
      <c r="I12" s="1"/>
    </row>
    <row r="13" spans="1:9">
      <c r="B13" s="1" t="str">
        <f t="shared" si="0"/>
        <v>・</v>
      </c>
      <c r="C13" s="1">
        <v>503</v>
      </c>
      <c r="D13" s="1" t="str">
        <f t="shared" si="3"/>
        <v/>
      </c>
      <c r="E13" s="1" t="str">
        <f t="shared" si="4"/>
        <v/>
      </c>
      <c r="F13" s="1"/>
      <c r="G13" s="1" t="s">
        <v>176</v>
      </c>
      <c r="H13" s="1">
        <v>214</v>
      </c>
      <c r="I13" s="1"/>
    </row>
    <row r="14" spans="1:9">
      <c r="B14" s="1" t="str">
        <f t="shared" si="0"/>
        <v>・</v>
      </c>
      <c r="C14" s="1">
        <v>504</v>
      </c>
      <c r="D14" s="1" t="str">
        <f t="shared" ref="D14:D36" si="5">IF(F14&gt;1,"～","")</f>
        <v/>
      </c>
      <c r="E14" s="1" t="str">
        <f t="shared" ref="E14:E36" si="6">IF(F14&gt;1,C14+F14-1,"")</f>
        <v/>
      </c>
      <c r="F14" s="1"/>
      <c r="G14" s="1" t="s">
        <v>177</v>
      </c>
      <c r="H14" s="1">
        <v>287</v>
      </c>
      <c r="I14" s="1"/>
    </row>
    <row r="15" spans="1:9">
      <c r="B15" s="1" t="str">
        <f t="shared" si="0"/>
        <v>・</v>
      </c>
      <c r="C15" s="1">
        <v>505</v>
      </c>
      <c r="D15" s="1" t="str">
        <f t="shared" si="5"/>
        <v/>
      </c>
      <c r="E15" s="1" t="str">
        <f t="shared" si="6"/>
        <v/>
      </c>
      <c r="F15" s="1"/>
      <c r="G15" s="1" t="s">
        <v>178</v>
      </c>
      <c r="H15" s="1">
        <v>288</v>
      </c>
      <c r="I15" s="1"/>
    </row>
    <row r="16" spans="1:9">
      <c r="B16" s="1" t="str">
        <f t="shared" si="0"/>
        <v>・</v>
      </c>
      <c r="C16" s="1">
        <v>506</v>
      </c>
      <c r="D16" s="1" t="str">
        <f t="shared" si="5"/>
        <v/>
      </c>
      <c r="E16" s="1" t="str">
        <f t="shared" si="6"/>
        <v/>
      </c>
      <c r="F16" s="1"/>
      <c r="G16" s="1" t="s">
        <v>179</v>
      </c>
      <c r="H16" s="1">
        <v>289</v>
      </c>
      <c r="I16" s="1"/>
    </row>
    <row r="17" spans="2:9">
      <c r="B17" s="1" t="str">
        <f>IF(C17="","","・")</f>
        <v>・</v>
      </c>
      <c r="C17" s="1">
        <v>507</v>
      </c>
      <c r="D17" s="1" t="str">
        <f t="shared" si="5"/>
        <v/>
      </c>
      <c r="E17" s="1" t="str">
        <f>IF(F17&gt;1,C17+F17-1,"")</f>
        <v/>
      </c>
      <c r="F17" s="1"/>
      <c r="G17" s="1" t="s">
        <v>180</v>
      </c>
      <c r="H17" s="1">
        <v>245</v>
      </c>
      <c r="I17" s="1"/>
    </row>
    <row r="18" spans="2:9">
      <c r="B18" s="1" t="str">
        <f t="shared" ref="B18:B25" si="7">IF(C18="","","・")</f>
        <v>・</v>
      </c>
      <c r="C18" s="1">
        <v>510</v>
      </c>
      <c r="D18" s="1" t="str">
        <f t="shared" ref="D18:D25" si="8">IF(F18&gt;1,"～","")</f>
        <v/>
      </c>
      <c r="E18" s="1" t="str">
        <f t="shared" ref="E18:E25" si="9">IF(F18&gt;1,C18+F18-1,"")</f>
        <v/>
      </c>
      <c r="F18" s="1"/>
      <c r="G18" s="1" t="s">
        <v>181</v>
      </c>
      <c r="H18" s="1">
        <v>262</v>
      </c>
      <c r="I18" s="1"/>
    </row>
    <row r="19" spans="2:9">
      <c r="B19" s="1" t="str">
        <f t="shared" si="7"/>
        <v>・</v>
      </c>
      <c r="C19" s="1">
        <v>511</v>
      </c>
      <c r="D19" s="1" t="str">
        <f t="shared" si="8"/>
        <v/>
      </c>
      <c r="E19" s="1" t="str">
        <f t="shared" si="9"/>
        <v/>
      </c>
      <c r="F19" s="1"/>
      <c r="G19" s="1" t="s">
        <v>182</v>
      </c>
      <c r="H19" s="1">
        <v>211</v>
      </c>
      <c r="I19" s="1"/>
    </row>
    <row r="20" spans="2:9">
      <c r="B20" s="1" t="str">
        <f t="shared" si="7"/>
        <v>・</v>
      </c>
      <c r="C20" s="1">
        <v>512</v>
      </c>
      <c r="D20" s="1" t="str">
        <f t="shared" si="8"/>
        <v/>
      </c>
      <c r="E20" s="1" t="str">
        <f t="shared" si="9"/>
        <v/>
      </c>
      <c r="F20" s="1"/>
      <c r="G20" s="1" t="s">
        <v>183</v>
      </c>
      <c r="H20" s="1">
        <v>239</v>
      </c>
      <c r="I20" s="1"/>
    </row>
    <row r="21" spans="2:9">
      <c r="B21" s="1" t="str">
        <f t="shared" si="7"/>
        <v>・</v>
      </c>
      <c r="C21" s="1">
        <v>513</v>
      </c>
      <c r="D21" s="1" t="str">
        <f t="shared" si="8"/>
        <v/>
      </c>
      <c r="E21" s="1" t="str">
        <f t="shared" si="9"/>
        <v/>
      </c>
      <c r="F21" s="1"/>
      <c r="G21" s="1" t="s">
        <v>184</v>
      </c>
      <c r="H21" s="1">
        <v>214</v>
      </c>
      <c r="I21" s="1"/>
    </row>
    <row r="22" spans="2:9">
      <c r="B22" s="1" t="str">
        <f t="shared" si="7"/>
        <v>・</v>
      </c>
      <c r="C22" s="1">
        <v>514</v>
      </c>
      <c r="D22" s="1" t="str">
        <f t="shared" si="8"/>
        <v/>
      </c>
      <c r="E22" s="1" t="str">
        <f t="shared" si="9"/>
        <v/>
      </c>
      <c r="F22" s="1"/>
      <c r="G22" s="1" t="s">
        <v>185</v>
      </c>
      <c r="H22" s="1">
        <v>287</v>
      </c>
      <c r="I22" s="1"/>
    </row>
    <row r="23" spans="2:9">
      <c r="B23" s="1" t="str">
        <f t="shared" si="7"/>
        <v>・</v>
      </c>
      <c r="C23" s="1">
        <v>515</v>
      </c>
      <c r="D23" s="1" t="str">
        <f t="shared" si="8"/>
        <v/>
      </c>
      <c r="E23" s="1" t="str">
        <f t="shared" si="9"/>
        <v/>
      </c>
      <c r="F23" s="1"/>
      <c r="G23" s="1" t="s">
        <v>186</v>
      </c>
      <c r="H23" s="1">
        <v>288</v>
      </c>
      <c r="I23" s="1"/>
    </row>
    <row r="24" spans="2:9">
      <c r="B24" s="1" t="str">
        <f t="shared" si="7"/>
        <v>・</v>
      </c>
      <c r="C24" s="1">
        <v>516</v>
      </c>
      <c r="D24" s="1" t="str">
        <f t="shared" si="8"/>
        <v/>
      </c>
      <c r="E24" s="1" t="str">
        <f t="shared" si="9"/>
        <v/>
      </c>
      <c r="F24" s="1"/>
      <c r="G24" s="1" t="s">
        <v>187</v>
      </c>
      <c r="H24" s="1">
        <v>289</v>
      </c>
      <c r="I24" s="1"/>
    </row>
    <row r="25" spans="2:9">
      <c r="B25" s="1" t="str">
        <f t="shared" si="7"/>
        <v>・</v>
      </c>
      <c r="C25" s="1">
        <v>517</v>
      </c>
      <c r="D25" s="1" t="str">
        <f t="shared" si="8"/>
        <v/>
      </c>
      <c r="E25" s="1" t="str">
        <f t="shared" si="9"/>
        <v/>
      </c>
      <c r="F25" s="1"/>
      <c r="G25" s="1" t="s">
        <v>188</v>
      </c>
      <c r="H25" s="1">
        <v>245</v>
      </c>
      <c r="I25" s="1"/>
    </row>
    <row r="26" spans="2:9">
      <c r="B26" s="1" t="str">
        <f>IF(C26="","","・")</f>
        <v>・</v>
      </c>
      <c r="C26" s="1">
        <v>1000</v>
      </c>
      <c r="D26" s="1" t="str">
        <f t="shared" si="5"/>
        <v>～</v>
      </c>
      <c r="E26" s="1">
        <f>IF(F26&gt;1,C26+F26-1,"")</f>
        <v>1004</v>
      </c>
      <c r="F26" s="1">
        <v>5</v>
      </c>
      <c r="G26" s="1" t="s">
        <v>189</v>
      </c>
      <c r="H26" s="1">
        <v>6306</v>
      </c>
      <c r="I26" s="1"/>
    </row>
    <row r="27" spans="2:9">
      <c r="B27" s="1" t="str">
        <f>IF(C27="","","・")</f>
        <v>・</v>
      </c>
      <c r="C27" s="1">
        <v>1005</v>
      </c>
      <c r="D27" s="1" t="str">
        <f t="shared" si="5"/>
        <v>～</v>
      </c>
      <c r="E27" s="1">
        <f>IF(F27&gt;1,C27+F27-1,"")</f>
        <v>1009</v>
      </c>
      <c r="F27" s="1">
        <v>5</v>
      </c>
      <c r="G27" s="1" t="s">
        <v>190</v>
      </c>
      <c r="H27" s="1">
        <v>6300</v>
      </c>
      <c r="I27" s="1"/>
    </row>
    <row r="28" spans="2:9">
      <c r="B28" s="1" t="str">
        <f t="shared" si="0"/>
        <v>・</v>
      </c>
      <c r="C28" s="1">
        <v>1010</v>
      </c>
      <c r="D28" s="1" t="str">
        <f t="shared" si="5"/>
        <v>～</v>
      </c>
      <c r="E28" s="1">
        <f t="shared" si="6"/>
        <v>1014</v>
      </c>
      <c r="F28" s="1">
        <v>5</v>
      </c>
      <c r="G28" s="1" t="s">
        <v>191</v>
      </c>
      <c r="H28" s="1"/>
      <c r="I28" s="1"/>
    </row>
    <row r="29" spans="2:9">
      <c r="B29" s="1" t="str">
        <f t="shared" si="0"/>
        <v/>
      </c>
      <c r="C29" s="1"/>
      <c r="D29" s="1" t="str">
        <f t="shared" si="5"/>
        <v/>
      </c>
      <c r="E29" s="1" t="str">
        <f t="shared" si="6"/>
        <v/>
      </c>
      <c r="F29" s="1"/>
      <c r="G29" s="1"/>
      <c r="H29" s="1"/>
      <c r="I29" s="1"/>
    </row>
    <row r="30" spans="2:9">
      <c r="B30" s="1" t="str">
        <f t="shared" si="0"/>
        <v/>
      </c>
      <c r="C30" s="1"/>
      <c r="D30" s="1" t="str">
        <f t="shared" si="5"/>
        <v/>
      </c>
      <c r="E30" s="1" t="str">
        <f t="shared" si="6"/>
        <v/>
      </c>
      <c r="F30" s="1"/>
      <c r="G30" s="1"/>
      <c r="H30" s="1"/>
      <c r="I30" s="1"/>
    </row>
    <row r="31" spans="2:9">
      <c r="B31" s="1" t="str">
        <f t="shared" si="0"/>
        <v/>
      </c>
      <c r="C31" s="1"/>
      <c r="D31" s="1" t="str">
        <f t="shared" si="5"/>
        <v/>
      </c>
      <c r="E31" s="1" t="str">
        <f t="shared" si="6"/>
        <v/>
      </c>
      <c r="F31" s="1"/>
      <c r="G31" s="1"/>
      <c r="H31" s="1"/>
      <c r="I31" s="1"/>
    </row>
    <row r="32" spans="2:9">
      <c r="B32" s="1" t="str">
        <f t="shared" si="0"/>
        <v/>
      </c>
      <c r="C32" s="1"/>
      <c r="D32" s="1" t="str">
        <f t="shared" si="5"/>
        <v/>
      </c>
      <c r="E32" s="1" t="str">
        <f t="shared" si="6"/>
        <v/>
      </c>
      <c r="F32" s="1"/>
      <c r="G32" s="1"/>
      <c r="H32" s="1"/>
      <c r="I32" s="1"/>
    </row>
    <row r="33" spans="2:9">
      <c r="B33" s="1" t="str">
        <f t="shared" si="0"/>
        <v/>
      </c>
      <c r="C33" s="1"/>
      <c r="D33" s="1" t="str">
        <f t="shared" si="5"/>
        <v/>
      </c>
      <c r="E33" s="1" t="str">
        <f t="shared" si="6"/>
        <v/>
      </c>
      <c r="F33" s="1"/>
      <c r="G33" s="1"/>
      <c r="H33" s="1"/>
      <c r="I33" s="1"/>
    </row>
    <row r="34" spans="2:9">
      <c r="B34" s="1" t="str">
        <f t="shared" si="0"/>
        <v/>
      </c>
      <c r="C34" s="1"/>
      <c r="D34" s="1" t="str">
        <f t="shared" si="5"/>
        <v/>
      </c>
      <c r="E34" s="1" t="str">
        <f t="shared" si="6"/>
        <v/>
      </c>
      <c r="F34" s="1"/>
      <c r="G34" s="1"/>
      <c r="H34" s="1"/>
      <c r="I34" s="1"/>
    </row>
    <row r="35" spans="2:9">
      <c r="B35" s="1" t="str">
        <f t="shared" si="0"/>
        <v/>
      </c>
      <c r="C35" s="1"/>
      <c r="D35" s="1" t="str">
        <f t="shared" si="5"/>
        <v/>
      </c>
      <c r="E35" s="1" t="str">
        <f t="shared" si="6"/>
        <v/>
      </c>
      <c r="F35" s="1"/>
      <c r="G35" s="1"/>
      <c r="H35" s="1"/>
      <c r="I35" s="1"/>
    </row>
    <row r="36" spans="2:9">
      <c r="B36" s="1" t="str">
        <f t="shared" si="0"/>
        <v/>
      </c>
      <c r="C36" s="1"/>
      <c r="D36" s="1" t="str">
        <f t="shared" si="5"/>
        <v/>
      </c>
      <c r="E36" s="1" t="str">
        <f t="shared" si="6"/>
        <v/>
      </c>
      <c r="F36" s="1"/>
      <c r="G36" s="1"/>
      <c r="H36" s="1"/>
      <c r="I36" s="1"/>
    </row>
  </sheetData>
  <mergeCells count="4">
    <mergeCell ref="C3:E3"/>
    <mergeCell ref="C1:E1"/>
    <mergeCell ref="B5:C5"/>
    <mergeCell ref="B4:C4"/>
  </mergeCells>
  <phoneticPr fontId="2"/>
  <conditionalFormatting sqref="D6:D36">
    <cfRule type="cellIs" dxfId="3" priority="1" operator="notEqual">
      <formula>"～"</formula>
    </cfRule>
    <cfRule type="cellIs" dxfId="2" priority="2" operator="equal">
      <formula>"～"</formula>
    </cfRule>
  </conditionalFormatting>
  <conditionalFormatting sqref="E6:E36">
    <cfRule type="cellIs" dxfId="1" priority="3" operator="between">
      <formula>0</formula>
      <formula>4095</formula>
    </cfRule>
    <cfRule type="cellIs" dxfId="0" priority="4" operator="notBetween">
      <formula>0</formula>
      <formula>4095</formula>
    </cfRule>
  </conditionalFormatting>
  <hyperlinks>
    <hyperlink ref="A1" location="目次!A1" display="◀" xr:uid="{00000000-0004-0000-1300-000000000000}"/>
  </hyperlinks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8"/>
  <sheetViews>
    <sheetView workbookViewId="0"/>
  </sheetViews>
  <sheetFormatPr defaultRowHeight="18"/>
  <cols>
    <col min="1" max="1" width="5.19921875" bestFit="1" customWidth="1"/>
    <col min="2" max="2" width="3.5" bestFit="1" customWidth="1"/>
    <col min="3" max="3" width="5.5" bestFit="1" customWidth="1"/>
    <col min="4" max="4" width="11" bestFit="1" customWidth="1"/>
    <col min="5" max="5" width="3.5" bestFit="1" customWidth="1"/>
    <col min="6" max="6" width="3.5" customWidth="1"/>
    <col min="7" max="7" width="3.5" bestFit="1" customWidth="1"/>
  </cols>
  <sheetData>
    <row r="1" spans="1:7" s="12" customFormat="1">
      <c r="A1" s="54" t="s">
        <v>0</v>
      </c>
      <c r="C1" s="167" t="s">
        <v>192</v>
      </c>
      <c r="D1" s="167"/>
      <c r="E1" s="167"/>
      <c r="F1" s="11"/>
    </row>
    <row r="3" spans="1:7">
      <c r="C3" s="211" t="s">
        <v>192</v>
      </c>
      <c r="D3" s="211"/>
    </row>
    <row r="4" spans="1:7">
      <c r="C4" s="210" t="s">
        <v>168</v>
      </c>
      <c r="D4" s="210"/>
      <c r="E4" s="208" t="s">
        <v>193</v>
      </c>
      <c r="F4" s="208"/>
      <c r="G4" s="208"/>
    </row>
    <row r="5" spans="1:7">
      <c r="B5">
        <v>0</v>
      </c>
      <c r="C5" s="1">
        <v>262</v>
      </c>
      <c r="D5" s="1" t="s">
        <v>194</v>
      </c>
      <c r="E5" s="1"/>
      <c r="F5" s="72" t="s">
        <v>117</v>
      </c>
      <c r="G5" s="1"/>
    </row>
    <row r="6" spans="1:7">
      <c r="B6">
        <f>B5+1</f>
        <v>1</v>
      </c>
      <c r="C6" s="1">
        <v>211</v>
      </c>
      <c r="D6" s="1" t="s">
        <v>195</v>
      </c>
      <c r="E6" s="1"/>
      <c r="F6" s="72" t="s">
        <v>117</v>
      </c>
      <c r="G6" s="1"/>
    </row>
    <row r="7" spans="1:7">
      <c r="B7">
        <f t="shared" ref="B7:B14" si="0">B6+1</f>
        <v>2</v>
      </c>
      <c r="C7" s="1">
        <v>239</v>
      </c>
      <c r="D7" s="1" t="s">
        <v>196</v>
      </c>
      <c r="E7" s="1"/>
      <c r="F7" s="72" t="s">
        <v>117</v>
      </c>
      <c r="G7" s="1"/>
    </row>
    <row r="8" spans="1:7">
      <c r="B8">
        <f t="shared" si="0"/>
        <v>3</v>
      </c>
      <c r="C8" s="1">
        <v>214</v>
      </c>
      <c r="D8" s="1" t="s">
        <v>197</v>
      </c>
      <c r="E8" s="1"/>
      <c r="F8" s="72" t="s">
        <v>117</v>
      </c>
      <c r="G8" s="1"/>
    </row>
    <row r="9" spans="1:7">
      <c r="B9">
        <f t="shared" si="0"/>
        <v>4</v>
      </c>
      <c r="C9" s="1">
        <v>287</v>
      </c>
      <c r="D9" s="1" t="s">
        <v>198</v>
      </c>
      <c r="E9" s="1"/>
      <c r="F9" s="72" t="s">
        <v>117</v>
      </c>
      <c r="G9" s="1"/>
    </row>
    <row r="10" spans="1:7">
      <c r="B10">
        <f t="shared" si="0"/>
        <v>5</v>
      </c>
      <c r="C10" s="1">
        <v>288</v>
      </c>
      <c r="D10" s="1" t="s">
        <v>199</v>
      </c>
      <c r="E10" s="1"/>
      <c r="F10" s="72" t="s">
        <v>117</v>
      </c>
      <c r="G10" s="1"/>
    </row>
    <row r="11" spans="1:7">
      <c r="B11">
        <f t="shared" si="0"/>
        <v>6</v>
      </c>
      <c r="C11" s="1">
        <v>289</v>
      </c>
      <c r="D11" s="1" t="s">
        <v>200</v>
      </c>
      <c r="E11" s="1"/>
      <c r="F11" s="72" t="s">
        <v>117</v>
      </c>
      <c r="G11" s="1"/>
    </row>
    <row r="12" spans="1:7">
      <c r="B12">
        <f t="shared" si="0"/>
        <v>7</v>
      </c>
      <c r="C12" s="1">
        <v>245</v>
      </c>
      <c r="D12" s="1" t="s">
        <v>201</v>
      </c>
      <c r="E12" s="1"/>
      <c r="F12" s="72" t="s">
        <v>117</v>
      </c>
      <c r="G12" s="1"/>
    </row>
    <row r="13" spans="1:7">
      <c r="B13">
        <f t="shared" si="0"/>
        <v>8</v>
      </c>
      <c r="C13" s="1">
        <v>7140</v>
      </c>
      <c r="D13" s="1" t="s">
        <v>202</v>
      </c>
      <c r="E13" s="1">
        <v>32</v>
      </c>
      <c r="F13" s="72" t="s">
        <v>117</v>
      </c>
      <c r="G13" s="1">
        <v>32</v>
      </c>
    </row>
    <row r="14" spans="1:7">
      <c r="B14">
        <f t="shared" si="0"/>
        <v>9</v>
      </c>
      <c r="C14" s="1">
        <v>6306</v>
      </c>
      <c r="D14" s="1" t="s">
        <v>203</v>
      </c>
      <c r="E14" s="1"/>
      <c r="F14" s="72" t="s">
        <v>117</v>
      </c>
      <c r="G14" s="1"/>
    </row>
    <row r="15" spans="1:7">
      <c r="B15">
        <f t="shared" ref="B15:B28" si="1">B14+1</f>
        <v>10</v>
      </c>
      <c r="C15" s="1">
        <v>6300</v>
      </c>
      <c r="D15" s="1" t="s">
        <v>204</v>
      </c>
      <c r="E15" s="1"/>
      <c r="F15" s="72" t="s">
        <v>117</v>
      </c>
      <c r="G15" s="1"/>
    </row>
    <row r="16" spans="1:7">
      <c r="B16">
        <f t="shared" si="1"/>
        <v>11</v>
      </c>
      <c r="C16" s="1"/>
      <c r="D16" s="1"/>
      <c r="E16" s="1"/>
      <c r="F16" s="72" t="s">
        <v>117</v>
      </c>
      <c r="G16" s="1"/>
    </row>
    <row r="17" spans="2:7">
      <c r="B17">
        <f t="shared" si="1"/>
        <v>12</v>
      </c>
      <c r="C17" s="1"/>
      <c r="D17" s="1"/>
      <c r="E17" s="1"/>
      <c r="F17" s="72" t="s">
        <v>117</v>
      </c>
      <c r="G17" s="1"/>
    </row>
    <row r="18" spans="2:7">
      <c r="B18">
        <f t="shared" si="1"/>
        <v>13</v>
      </c>
      <c r="C18" s="1"/>
      <c r="D18" s="1"/>
      <c r="E18" s="1"/>
      <c r="F18" s="72" t="s">
        <v>117</v>
      </c>
      <c r="G18" s="1"/>
    </row>
    <row r="19" spans="2:7">
      <c r="B19">
        <f t="shared" si="1"/>
        <v>14</v>
      </c>
      <c r="C19" s="1"/>
      <c r="D19" s="1"/>
      <c r="E19" s="1"/>
      <c r="F19" s="72" t="s">
        <v>117</v>
      </c>
      <c r="G19" s="1"/>
    </row>
    <row r="20" spans="2:7">
      <c r="B20">
        <f t="shared" si="1"/>
        <v>15</v>
      </c>
      <c r="C20" s="1"/>
      <c r="D20" s="1"/>
      <c r="E20" s="1"/>
      <c r="F20" s="72" t="s">
        <v>117</v>
      </c>
      <c r="G20" s="1"/>
    </row>
    <row r="21" spans="2:7">
      <c r="B21">
        <f t="shared" si="1"/>
        <v>16</v>
      </c>
      <c r="C21" s="1"/>
      <c r="D21" s="1"/>
      <c r="E21" s="1"/>
      <c r="F21" s="72" t="s">
        <v>117</v>
      </c>
      <c r="G21" s="1"/>
    </row>
    <row r="22" spans="2:7">
      <c r="B22">
        <f t="shared" si="1"/>
        <v>17</v>
      </c>
      <c r="C22" s="1"/>
      <c r="D22" s="1"/>
      <c r="E22" s="1"/>
      <c r="F22" s="72" t="s">
        <v>117</v>
      </c>
      <c r="G22" s="1"/>
    </row>
    <row r="23" spans="2:7">
      <c r="B23">
        <f t="shared" si="1"/>
        <v>18</v>
      </c>
      <c r="C23" s="1"/>
      <c r="D23" s="1"/>
      <c r="E23" s="1"/>
      <c r="F23" s="72" t="s">
        <v>117</v>
      </c>
      <c r="G23" s="1"/>
    </row>
    <row r="24" spans="2:7">
      <c r="B24">
        <f t="shared" si="1"/>
        <v>19</v>
      </c>
      <c r="C24" s="1"/>
      <c r="D24" s="1"/>
      <c r="E24" s="1"/>
      <c r="F24" s="72" t="s">
        <v>117</v>
      </c>
      <c r="G24" s="1"/>
    </row>
    <row r="25" spans="2:7">
      <c r="B25">
        <f t="shared" si="1"/>
        <v>20</v>
      </c>
      <c r="C25" s="1"/>
      <c r="D25" s="1"/>
      <c r="E25" s="1"/>
      <c r="F25" s="72" t="s">
        <v>117</v>
      </c>
      <c r="G25" s="1"/>
    </row>
    <row r="26" spans="2:7">
      <c r="B26">
        <f t="shared" si="1"/>
        <v>21</v>
      </c>
      <c r="C26" s="1"/>
      <c r="D26" s="1"/>
      <c r="E26" s="1"/>
      <c r="F26" s="72" t="s">
        <v>117</v>
      </c>
      <c r="G26" s="1"/>
    </row>
    <row r="27" spans="2:7">
      <c r="B27">
        <f t="shared" si="1"/>
        <v>22</v>
      </c>
      <c r="C27" s="1"/>
      <c r="D27" s="1"/>
      <c r="E27" s="1"/>
      <c r="F27" s="72" t="s">
        <v>117</v>
      </c>
      <c r="G27" s="1"/>
    </row>
    <row r="28" spans="2:7">
      <c r="B28">
        <f t="shared" si="1"/>
        <v>23</v>
      </c>
      <c r="C28" s="1"/>
      <c r="D28" s="1"/>
      <c r="E28" s="1"/>
      <c r="F28" s="72" t="s">
        <v>117</v>
      </c>
      <c r="G28" s="1"/>
    </row>
  </sheetData>
  <mergeCells count="4">
    <mergeCell ref="C1:E1"/>
    <mergeCell ref="E4:G4"/>
    <mergeCell ref="C4:D4"/>
    <mergeCell ref="C3:D3"/>
  </mergeCells>
  <phoneticPr fontId="2"/>
  <hyperlinks>
    <hyperlink ref="A1" location="目次!A1" display="◀" xr:uid="{00000000-0004-0000-14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"/>
  <sheetViews>
    <sheetView workbookViewId="0"/>
  </sheetViews>
  <sheetFormatPr defaultRowHeight="18"/>
  <cols>
    <col min="1" max="1" width="5.19921875" bestFit="1" customWidth="1"/>
    <col min="2" max="2" width="3.3984375" bestFit="1" customWidth="1"/>
    <col min="3" max="3" width="10.19921875" bestFit="1" customWidth="1"/>
    <col min="4" max="4" width="16.59765625" customWidth="1"/>
    <col min="5" max="5" width="59.69921875" customWidth="1"/>
    <col min="6" max="6" width="19.19921875" bestFit="1" customWidth="1"/>
  </cols>
  <sheetData>
    <row r="1" spans="1:6" s="12" customFormat="1">
      <c r="A1" s="54" t="s">
        <v>0</v>
      </c>
      <c r="C1" s="121" t="s">
        <v>24</v>
      </c>
      <c r="D1" s="121"/>
      <c r="E1" s="121"/>
      <c r="F1" s="11"/>
    </row>
    <row r="3" spans="1:6">
      <c r="C3" s="1"/>
      <c r="D3" s="1" t="s">
        <v>139</v>
      </c>
      <c r="E3" s="1" t="s">
        <v>205</v>
      </c>
      <c r="F3" s="1" t="s">
        <v>206</v>
      </c>
    </row>
    <row r="4" spans="1:6">
      <c r="B4" t="s">
        <v>2</v>
      </c>
      <c r="C4" s="1" t="s">
        <v>207</v>
      </c>
      <c r="D4" s="1"/>
      <c r="E4" s="1"/>
      <c r="F4" s="1"/>
    </row>
    <row r="5" spans="1:6">
      <c r="B5" t="s">
        <v>2</v>
      </c>
      <c r="C5" s="1" t="s">
        <v>208</v>
      </c>
      <c r="D5" s="1"/>
      <c r="E5" s="1"/>
      <c r="F5" s="1"/>
    </row>
    <row r="6" spans="1:6">
      <c r="B6" t="s">
        <v>2</v>
      </c>
      <c r="C6" s="1" t="s">
        <v>209</v>
      </c>
      <c r="D6" s="1"/>
      <c r="E6" s="1"/>
      <c r="F6" s="1"/>
    </row>
    <row r="7" spans="1:6">
      <c r="B7" t="s">
        <v>2</v>
      </c>
      <c r="C7" s="1" t="s">
        <v>210</v>
      </c>
      <c r="D7" s="1"/>
      <c r="E7" s="1"/>
      <c r="F7" s="1"/>
    </row>
    <row r="8" spans="1:6">
      <c r="B8" t="s">
        <v>2</v>
      </c>
      <c r="C8" s="1" t="s">
        <v>211</v>
      </c>
      <c r="D8" s="1"/>
      <c r="E8" s="1"/>
      <c r="F8" s="1"/>
    </row>
    <row r="9" spans="1:6">
      <c r="C9" s="1"/>
      <c r="D9" s="1"/>
      <c r="E9" s="1"/>
      <c r="F9" s="1"/>
    </row>
  </sheetData>
  <mergeCells count="1">
    <mergeCell ref="C1:E1"/>
  </mergeCells>
  <phoneticPr fontId="2"/>
  <hyperlinks>
    <hyperlink ref="A1" location="目次!A1" display="◀" xr:uid="{00000000-0004-0000-1500-000000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K27"/>
  <sheetViews>
    <sheetView workbookViewId="0"/>
  </sheetViews>
  <sheetFormatPr defaultRowHeight="18"/>
  <cols>
    <col min="1" max="3" width="6.5" bestFit="1" customWidth="1"/>
    <col min="4" max="7" width="6.5" customWidth="1"/>
    <col min="8" max="8" width="4.5" bestFit="1" customWidth="1"/>
    <col min="9" max="9" width="7.09765625" bestFit="1" customWidth="1"/>
    <col min="11" max="11" width="6.3984375" style="84" customWidth="1"/>
    <col min="12" max="12" width="7.09765625" style="84" bestFit="1" customWidth="1"/>
    <col min="13" max="37" width="4.3984375" style="84" customWidth="1"/>
  </cols>
  <sheetData>
    <row r="1" spans="1:37">
      <c r="A1" s="1"/>
      <c r="B1" s="1" t="s">
        <v>212</v>
      </c>
      <c r="C1" s="1" t="s">
        <v>213</v>
      </c>
      <c r="D1" t="s">
        <v>214</v>
      </c>
      <c r="E1" t="s">
        <v>215</v>
      </c>
      <c r="F1" t="s">
        <v>216</v>
      </c>
      <c r="G1" t="s">
        <v>217</v>
      </c>
      <c r="H1" s="211" t="s">
        <v>218</v>
      </c>
      <c r="I1" s="211"/>
      <c r="K1" s="84" t="s">
        <v>219</v>
      </c>
      <c r="L1" s="84" t="s">
        <v>220</v>
      </c>
      <c r="M1" s="84">
        <v>0</v>
      </c>
      <c r="N1" s="84">
        <v>15</v>
      </c>
      <c r="O1" s="84">
        <v>30</v>
      </c>
      <c r="P1" s="84">
        <v>45</v>
      </c>
      <c r="Q1" s="84">
        <v>60</v>
      </c>
      <c r="R1" s="84">
        <v>75</v>
      </c>
      <c r="S1" s="84">
        <v>90</v>
      </c>
      <c r="T1" s="84">
        <v>105</v>
      </c>
      <c r="U1" s="84">
        <v>120</v>
      </c>
      <c r="V1" s="84">
        <v>135</v>
      </c>
      <c r="W1" s="84">
        <v>150</v>
      </c>
      <c r="X1" s="84">
        <v>165</v>
      </c>
      <c r="Y1" s="84">
        <v>180</v>
      </c>
      <c r="Z1" s="84">
        <v>195</v>
      </c>
      <c r="AA1" s="84">
        <v>210</v>
      </c>
      <c r="AB1" s="84">
        <v>225</v>
      </c>
      <c r="AC1" s="84">
        <v>240</v>
      </c>
      <c r="AD1" s="84">
        <v>255</v>
      </c>
      <c r="AE1" s="84">
        <v>270</v>
      </c>
      <c r="AF1" s="84">
        <v>285</v>
      </c>
      <c r="AG1" s="84">
        <v>300</v>
      </c>
      <c r="AH1" s="84">
        <v>315</v>
      </c>
      <c r="AI1" s="84">
        <v>330</v>
      </c>
      <c r="AJ1" s="84">
        <v>345</v>
      </c>
      <c r="AK1" s="84">
        <v>360</v>
      </c>
    </row>
    <row r="2" spans="1:37">
      <c r="A2" s="1" t="s">
        <v>219</v>
      </c>
      <c r="B2" s="1">
        <v>16</v>
      </c>
      <c r="C2" s="1">
        <v>120</v>
      </c>
      <c r="D2" s="88">
        <f>B3-B2</f>
        <v>-16</v>
      </c>
      <c r="E2" s="88">
        <f>C3-C2</f>
        <v>0</v>
      </c>
      <c r="F2" s="88">
        <f>ATAN2(D2,E2)</f>
        <v>3.1415926535897931</v>
      </c>
      <c r="G2" s="88">
        <f>DEGREES(F2)</f>
        <v>180</v>
      </c>
      <c r="H2" s="88">
        <f>IF(G2&lt;0,G2+360,IF(G2&gt;360,G2-360,G2))</f>
        <v>180</v>
      </c>
      <c r="I2" s="88" t="str">
        <f>VLOOKUP(H2,$D$6:$F$22,3,1)</f>
        <v>←</v>
      </c>
      <c r="K2" s="84" t="s">
        <v>221</v>
      </c>
      <c r="L2" s="84" t="s">
        <v>222</v>
      </c>
      <c r="M2" s="85" t="s">
        <v>223</v>
      </c>
      <c r="N2" s="86"/>
      <c r="O2" s="86"/>
      <c r="P2" s="86" t="s">
        <v>224</v>
      </c>
      <c r="Q2" s="86"/>
      <c r="R2" s="86"/>
      <c r="S2" s="86" t="s">
        <v>71</v>
      </c>
      <c r="T2" s="86"/>
      <c r="U2" s="86"/>
      <c r="V2" s="86" t="s">
        <v>225</v>
      </c>
      <c r="W2" s="86"/>
      <c r="X2" s="86"/>
      <c r="Y2" s="86" t="s">
        <v>226</v>
      </c>
      <c r="Z2" s="86"/>
      <c r="AA2" s="86"/>
      <c r="AB2" s="86" t="s">
        <v>227</v>
      </c>
      <c r="AC2" s="86"/>
      <c r="AD2" s="86"/>
      <c r="AE2" s="86" t="s">
        <v>228</v>
      </c>
      <c r="AF2" s="86"/>
      <c r="AG2" s="86"/>
      <c r="AH2" s="86" t="s">
        <v>229</v>
      </c>
      <c r="AI2" s="86"/>
      <c r="AJ2" s="86"/>
      <c r="AK2" s="87" t="s">
        <v>223</v>
      </c>
    </row>
    <row r="3" spans="1:37">
      <c r="A3" s="1" t="s">
        <v>230</v>
      </c>
      <c r="B3" s="1">
        <v>0</v>
      </c>
      <c r="C3" s="1">
        <v>120</v>
      </c>
      <c r="D3" s="88">
        <f>B2-B3</f>
        <v>16</v>
      </c>
      <c r="E3" s="88">
        <f>C2-C3</f>
        <v>0</v>
      </c>
      <c r="F3" s="88">
        <f>ATAN2(D3,E3)</f>
        <v>0</v>
      </c>
      <c r="G3" s="88">
        <f>DEGREES(F3)</f>
        <v>0</v>
      </c>
      <c r="H3" s="88">
        <f>IF(G3&lt;0,G3+360,IF(G3&gt;360,G3-360,G3))</f>
        <v>0</v>
      </c>
      <c r="I3" s="88" t="str">
        <f>VLOOKUP(H3,$D$6:$F$22,3,1)</f>
        <v>　　→</v>
      </c>
      <c r="K3" s="84">
        <v>0</v>
      </c>
      <c r="L3" s="16" t="str">
        <f t="shared" ref="L3:L27" si="0">VLOOKUP(K3,$D$6:$F$22,3,1)</f>
        <v>　　→</v>
      </c>
      <c r="M3" s="84">
        <f>MOD(($K3+($K3+180-M$1)),360)</f>
        <v>180</v>
      </c>
      <c r="N3" s="84">
        <f t="shared" ref="N3:AC18" si="1">MOD(($K3+($K3+180-N$1)),360)</f>
        <v>165</v>
      </c>
      <c r="O3" s="84">
        <f t="shared" si="1"/>
        <v>150</v>
      </c>
      <c r="P3" s="84">
        <f t="shared" si="1"/>
        <v>135</v>
      </c>
      <c r="Q3" s="84">
        <f t="shared" si="1"/>
        <v>120</v>
      </c>
      <c r="R3" s="84">
        <f t="shared" si="1"/>
        <v>105</v>
      </c>
      <c r="S3" s="84">
        <f t="shared" si="1"/>
        <v>90</v>
      </c>
      <c r="T3" s="84">
        <f t="shared" si="1"/>
        <v>75</v>
      </c>
      <c r="U3" s="84">
        <f t="shared" si="1"/>
        <v>60</v>
      </c>
      <c r="V3" s="84">
        <f t="shared" si="1"/>
        <v>45</v>
      </c>
      <c r="W3" s="84">
        <f t="shared" si="1"/>
        <v>30</v>
      </c>
      <c r="X3" s="84">
        <f t="shared" si="1"/>
        <v>15</v>
      </c>
      <c r="Y3" s="84">
        <f t="shared" si="1"/>
        <v>0</v>
      </c>
      <c r="Z3" s="84">
        <f t="shared" si="1"/>
        <v>345</v>
      </c>
      <c r="AA3" s="84">
        <f t="shared" si="1"/>
        <v>330</v>
      </c>
      <c r="AB3" s="84">
        <f t="shared" si="1"/>
        <v>315</v>
      </c>
      <c r="AC3" s="84">
        <f t="shared" si="1"/>
        <v>300</v>
      </c>
      <c r="AD3" s="84">
        <f t="shared" ref="AD3:AK18" si="2">MOD(($K3+($K3+180-AD$1)),360)</f>
        <v>285</v>
      </c>
      <c r="AE3" s="84">
        <f t="shared" si="2"/>
        <v>270</v>
      </c>
      <c r="AF3" s="84">
        <f t="shared" si="2"/>
        <v>255</v>
      </c>
      <c r="AG3" s="84">
        <f t="shared" si="2"/>
        <v>240</v>
      </c>
      <c r="AH3" s="84">
        <f t="shared" si="2"/>
        <v>225</v>
      </c>
      <c r="AI3" s="84">
        <f t="shared" si="2"/>
        <v>210</v>
      </c>
      <c r="AJ3" s="84">
        <f t="shared" si="2"/>
        <v>195</v>
      </c>
      <c r="AK3" s="84">
        <f t="shared" si="2"/>
        <v>180</v>
      </c>
    </row>
    <row r="4" spans="1:37" ht="18.600000000000001" thickBot="1">
      <c r="K4" s="84">
        <v>15</v>
      </c>
      <c r="L4" s="16" t="str">
        <f t="shared" si="0"/>
        <v>　↘→</v>
      </c>
      <c r="M4" s="84">
        <f t="shared" ref="M4:AB19" si="3">MOD(($K4+($K4+180-M$1)),360)</f>
        <v>210</v>
      </c>
      <c r="N4" s="84">
        <f t="shared" si="1"/>
        <v>195</v>
      </c>
      <c r="O4" s="84">
        <f t="shared" si="1"/>
        <v>180</v>
      </c>
      <c r="P4" s="84">
        <f t="shared" si="1"/>
        <v>165</v>
      </c>
      <c r="Q4" s="84">
        <f t="shared" si="1"/>
        <v>150</v>
      </c>
      <c r="R4" s="84">
        <f t="shared" si="1"/>
        <v>135</v>
      </c>
      <c r="S4" s="84">
        <f t="shared" si="1"/>
        <v>120</v>
      </c>
      <c r="T4" s="84">
        <f t="shared" si="1"/>
        <v>105</v>
      </c>
      <c r="U4" s="84">
        <f t="shared" si="1"/>
        <v>90</v>
      </c>
      <c r="V4" s="84">
        <f t="shared" si="1"/>
        <v>75</v>
      </c>
      <c r="W4" s="84">
        <f t="shared" si="1"/>
        <v>60</v>
      </c>
      <c r="X4" s="84">
        <f t="shared" si="1"/>
        <v>45</v>
      </c>
      <c r="Y4" s="84">
        <f t="shared" si="1"/>
        <v>30</v>
      </c>
      <c r="Z4" s="84">
        <f t="shared" si="1"/>
        <v>15</v>
      </c>
      <c r="AA4" s="84">
        <f t="shared" si="1"/>
        <v>0</v>
      </c>
      <c r="AB4" s="84">
        <f t="shared" si="1"/>
        <v>345</v>
      </c>
      <c r="AC4" s="84">
        <f t="shared" si="1"/>
        <v>330</v>
      </c>
      <c r="AD4" s="84">
        <f t="shared" si="2"/>
        <v>315</v>
      </c>
      <c r="AE4" s="84">
        <f t="shared" si="2"/>
        <v>300</v>
      </c>
      <c r="AF4" s="84">
        <f t="shared" si="2"/>
        <v>285</v>
      </c>
      <c r="AG4" s="84">
        <f t="shared" si="2"/>
        <v>270</v>
      </c>
      <c r="AH4" s="84">
        <f t="shared" si="2"/>
        <v>255</v>
      </c>
      <c r="AI4" s="84">
        <f t="shared" si="2"/>
        <v>240</v>
      </c>
      <c r="AJ4" s="84">
        <f t="shared" si="2"/>
        <v>225</v>
      </c>
      <c r="AK4" s="84">
        <f t="shared" si="2"/>
        <v>210</v>
      </c>
    </row>
    <row r="5" spans="1:37">
      <c r="D5" s="78" t="s">
        <v>231</v>
      </c>
      <c r="E5" s="79"/>
      <c r="F5" s="80"/>
      <c r="K5" s="84">
        <v>30</v>
      </c>
      <c r="L5" s="16" t="str">
        <f t="shared" si="0"/>
        <v>　↘→</v>
      </c>
      <c r="M5" s="84">
        <f t="shared" si="3"/>
        <v>240</v>
      </c>
      <c r="N5" s="84">
        <f t="shared" si="1"/>
        <v>225</v>
      </c>
      <c r="O5" s="84">
        <f t="shared" si="1"/>
        <v>210</v>
      </c>
      <c r="P5" s="84">
        <f t="shared" si="1"/>
        <v>195</v>
      </c>
      <c r="Q5" s="84">
        <f t="shared" si="1"/>
        <v>180</v>
      </c>
      <c r="R5" s="84">
        <f t="shared" si="1"/>
        <v>165</v>
      </c>
      <c r="S5" s="84">
        <f t="shared" si="1"/>
        <v>150</v>
      </c>
      <c r="T5" s="84">
        <f t="shared" si="1"/>
        <v>135</v>
      </c>
      <c r="U5" s="84">
        <f t="shared" si="1"/>
        <v>120</v>
      </c>
      <c r="V5" s="84">
        <f t="shared" si="1"/>
        <v>105</v>
      </c>
      <c r="W5" s="84">
        <f t="shared" si="1"/>
        <v>90</v>
      </c>
      <c r="X5" s="84">
        <f t="shared" si="1"/>
        <v>75</v>
      </c>
      <c r="Y5" s="84">
        <f t="shared" si="1"/>
        <v>60</v>
      </c>
      <c r="Z5" s="84">
        <f t="shared" si="1"/>
        <v>45</v>
      </c>
      <c r="AA5" s="84">
        <f t="shared" si="1"/>
        <v>30</v>
      </c>
      <c r="AB5" s="84">
        <f t="shared" si="1"/>
        <v>15</v>
      </c>
      <c r="AC5" s="84">
        <f t="shared" si="1"/>
        <v>0</v>
      </c>
      <c r="AD5" s="84">
        <f t="shared" si="2"/>
        <v>345</v>
      </c>
      <c r="AE5" s="84">
        <f t="shared" si="2"/>
        <v>330</v>
      </c>
      <c r="AF5" s="84">
        <f t="shared" si="2"/>
        <v>315</v>
      </c>
      <c r="AG5" s="84">
        <f t="shared" si="2"/>
        <v>300</v>
      </c>
      <c r="AH5" s="84">
        <f t="shared" si="2"/>
        <v>285</v>
      </c>
      <c r="AI5" s="84">
        <f t="shared" si="2"/>
        <v>270</v>
      </c>
      <c r="AJ5" s="84">
        <f t="shared" si="2"/>
        <v>255</v>
      </c>
      <c r="AK5" s="84">
        <f t="shared" si="2"/>
        <v>240</v>
      </c>
    </row>
    <row r="6" spans="1:37">
      <c r="D6" s="81">
        <v>0</v>
      </c>
      <c r="E6" s="1">
        <v>0</v>
      </c>
      <c r="F6" s="2" t="s">
        <v>232</v>
      </c>
      <c r="K6" s="84">
        <v>45</v>
      </c>
      <c r="L6" s="16" t="str">
        <f t="shared" si="0"/>
        <v>　　↘</v>
      </c>
      <c r="M6" s="84">
        <f t="shared" si="3"/>
        <v>270</v>
      </c>
      <c r="N6" s="84">
        <f t="shared" si="1"/>
        <v>255</v>
      </c>
      <c r="O6" s="84">
        <f t="shared" si="1"/>
        <v>240</v>
      </c>
      <c r="P6" s="84">
        <f t="shared" si="1"/>
        <v>225</v>
      </c>
      <c r="Q6" s="84">
        <f t="shared" si="1"/>
        <v>210</v>
      </c>
      <c r="R6" s="84">
        <f t="shared" si="1"/>
        <v>195</v>
      </c>
      <c r="S6" s="84">
        <f t="shared" si="1"/>
        <v>180</v>
      </c>
      <c r="T6" s="84">
        <f t="shared" si="1"/>
        <v>165</v>
      </c>
      <c r="U6" s="84">
        <f t="shared" si="1"/>
        <v>150</v>
      </c>
      <c r="V6" s="84">
        <f t="shared" si="1"/>
        <v>135</v>
      </c>
      <c r="W6" s="84">
        <f t="shared" si="1"/>
        <v>120</v>
      </c>
      <c r="X6" s="84">
        <f t="shared" si="1"/>
        <v>105</v>
      </c>
      <c r="Y6" s="84">
        <f t="shared" si="1"/>
        <v>90</v>
      </c>
      <c r="Z6" s="84">
        <f t="shared" si="1"/>
        <v>75</v>
      </c>
      <c r="AA6" s="84">
        <f t="shared" si="1"/>
        <v>60</v>
      </c>
      <c r="AB6" s="84">
        <f t="shared" si="1"/>
        <v>45</v>
      </c>
      <c r="AC6" s="84">
        <f t="shared" si="1"/>
        <v>30</v>
      </c>
      <c r="AD6" s="84">
        <f t="shared" si="2"/>
        <v>15</v>
      </c>
      <c r="AE6" s="84">
        <f t="shared" si="2"/>
        <v>0</v>
      </c>
      <c r="AF6" s="84">
        <f t="shared" si="2"/>
        <v>345</v>
      </c>
      <c r="AG6" s="84">
        <f t="shared" si="2"/>
        <v>330</v>
      </c>
      <c r="AH6" s="84">
        <f t="shared" si="2"/>
        <v>315</v>
      </c>
      <c r="AI6" s="84">
        <f t="shared" si="2"/>
        <v>300</v>
      </c>
      <c r="AJ6" s="84">
        <f t="shared" si="2"/>
        <v>285</v>
      </c>
      <c r="AK6" s="84">
        <f t="shared" si="2"/>
        <v>270</v>
      </c>
    </row>
    <row r="7" spans="1:37">
      <c r="D7" s="81">
        <v>1</v>
      </c>
      <c r="E7" s="1">
        <v>44</v>
      </c>
      <c r="F7" s="2" t="s">
        <v>233</v>
      </c>
      <c r="K7" s="84">
        <v>60</v>
      </c>
      <c r="L7" s="16" t="str">
        <f t="shared" si="0"/>
        <v>　↓↘</v>
      </c>
      <c r="M7" s="84">
        <f t="shared" si="3"/>
        <v>300</v>
      </c>
      <c r="N7" s="84">
        <f t="shared" si="1"/>
        <v>285</v>
      </c>
      <c r="O7" s="84">
        <f t="shared" si="1"/>
        <v>270</v>
      </c>
      <c r="P7" s="84">
        <f t="shared" si="1"/>
        <v>255</v>
      </c>
      <c r="Q7" s="84">
        <f t="shared" si="1"/>
        <v>240</v>
      </c>
      <c r="R7" s="84">
        <f t="shared" si="1"/>
        <v>225</v>
      </c>
      <c r="S7" s="84">
        <f t="shared" si="1"/>
        <v>210</v>
      </c>
      <c r="T7" s="84">
        <f t="shared" si="1"/>
        <v>195</v>
      </c>
      <c r="U7" s="84">
        <f t="shared" si="1"/>
        <v>180</v>
      </c>
      <c r="V7" s="84">
        <f t="shared" si="1"/>
        <v>165</v>
      </c>
      <c r="W7" s="84">
        <f t="shared" si="1"/>
        <v>150</v>
      </c>
      <c r="X7" s="84">
        <f t="shared" si="1"/>
        <v>135</v>
      </c>
      <c r="Y7" s="84">
        <f t="shared" si="1"/>
        <v>120</v>
      </c>
      <c r="Z7" s="84">
        <f t="shared" si="1"/>
        <v>105</v>
      </c>
      <c r="AA7" s="84">
        <f t="shared" si="1"/>
        <v>90</v>
      </c>
      <c r="AB7" s="84">
        <f t="shared" si="1"/>
        <v>75</v>
      </c>
      <c r="AC7" s="84">
        <f t="shared" si="1"/>
        <v>60</v>
      </c>
      <c r="AD7" s="84">
        <f t="shared" si="2"/>
        <v>45</v>
      </c>
      <c r="AE7" s="84">
        <f t="shared" si="2"/>
        <v>30</v>
      </c>
      <c r="AF7" s="84">
        <f t="shared" si="2"/>
        <v>15</v>
      </c>
      <c r="AG7" s="84">
        <f t="shared" si="2"/>
        <v>0</v>
      </c>
      <c r="AH7" s="84">
        <f t="shared" si="2"/>
        <v>345</v>
      </c>
      <c r="AI7" s="84">
        <f t="shared" si="2"/>
        <v>330</v>
      </c>
      <c r="AJ7" s="84">
        <f t="shared" si="2"/>
        <v>315</v>
      </c>
      <c r="AK7" s="84">
        <f t="shared" si="2"/>
        <v>300</v>
      </c>
    </row>
    <row r="8" spans="1:37">
      <c r="D8" s="81">
        <v>45</v>
      </c>
      <c r="E8" s="1">
        <v>45</v>
      </c>
      <c r="F8" s="2" t="s">
        <v>234</v>
      </c>
      <c r="K8" s="84">
        <v>75</v>
      </c>
      <c r="L8" s="16" t="str">
        <f t="shared" si="0"/>
        <v>　↓↘</v>
      </c>
      <c r="M8" s="84">
        <f t="shared" si="3"/>
        <v>330</v>
      </c>
      <c r="N8" s="84">
        <f t="shared" si="1"/>
        <v>315</v>
      </c>
      <c r="O8" s="84">
        <f t="shared" si="1"/>
        <v>300</v>
      </c>
      <c r="P8" s="84">
        <f t="shared" si="1"/>
        <v>285</v>
      </c>
      <c r="Q8" s="84">
        <f t="shared" si="1"/>
        <v>270</v>
      </c>
      <c r="R8" s="84">
        <f t="shared" si="1"/>
        <v>255</v>
      </c>
      <c r="S8" s="84">
        <f t="shared" si="1"/>
        <v>240</v>
      </c>
      <c r="T8" s="84">
        <f t="shared" si="1"/>
        <v>225</v>
      </c>
      <c r="U8" s="84">
        <f t="shared" si="1"/>
        <v>210</v>
      </c>
      <c r="V8" s="84">
        <f t="shared" si="1"/>
        <v>195</v>
      </c>
      <c r="W8" s="84">
        <f t="shared" si="1"/>
        <v>180</v>
      </c>
      <c r="X8" s="84">
        <f t="shared" si="1"/>
        <v>165</v>
      </c>
      <c r="Y8" s="84">
        <f t="shared" si="1"/>
        <v>150</v>
      </c>
      <c r="Z8" s="84">
        <f t="shared" si="1"/>
        <v>135</v>
      </c>
      <c r="AA8" s="84">
        <f t="shared" si="1"/>
        <v>120</v>
      </c>
      <c r="AB8" s="84">
        <f t="shared" si="1"/>
        <v>105</v>
      </c>
      <c r="AC8" s="84">
        <f t="shared" si="1"/>
        <v>90</v>
      </c>
      <c r="AD8" s="84">
        <f t="shared" si="2"/>
        <v>75</v>
      </c>
      <c r="AE8" s="84">
        <f t="shared" si="2"/>
        <v>60</v>
      </c>
      <c r="AF8" s="84">
        <f t="shared" si="2"/>
        <v>45</v>
      </c>
      <c r="AG8" s="84">
        <f t="shared" si="2"/>
        <v>30</v>
      </c>
      <c r="AH8" s="84">
        <f t="shared" si="2"/>
        <v>15</v>
      </c>
      <c r="AI8" s="84">
        <f t="shared" si="2"/>
        <v>0</v>
      </c>
      <c r="AJ8" s="84">
        <f t="shared" si="2"/>
        <v>345</v>
      </c>
      <c r="AK8" s="84">
        <f t="shared" si="2"/>
        <v>330</v>
      </c>
    </row>
    <row r="9" spans="1:37">
      <c r="D9" s="81">
        <v>46</v>
      </c>
      <c r="E9" s="1">
        <v>89</v>
      </c>
      <c r="F9" s="2" t="s">
        <v>235</v>
      </c>
      <c r="K9" s="84">
        <v>90</v>
      </c>
      <c r="L9" s="16" t="str">
        <f t="shared" si="0"/>
        <v>　↓</v>
      </c>
      <c r="M9" s="84">
        <f t="shared" si="3"/>
        <v>0</v>
      </c>
      <c r="N9" s="84">
        <f t="shared" si="1"/>
        <v>345</v>
      </c>
      <c r="O9" s="84">
        <f t="shared" si="1"/>
        <v>330</v>
      </c>
      <c r="P9" s="84">
        <f t="shared" si="1"/>
        <v>315</v>
      </c>
      <c r="Q9" s="84">
        <f t="shared" si="1"/>
        <v>300</v>
      </c>
      <c r="R9" s="84">
        <f t="shared" si="1"/>
        <v>285</v>
      </c>
      <c r="S9" s="84">
        <f t="shared" si="1"/>
        <v>270</v>
      </c>
      <c r="T9" s="84">
        <f t="shared" si="1"/>
        <v>255</v>
      </c>
      <c r="U9" s="84">
        <f t="shared" si="1"/>
        <v>240</v>
      </c>
      <c r="V9" s="84">
        <f t="shared" si="1"/>
        <v>225</v>
      </c>
      <c r="W9" s="84">
        <f t="shared" si="1"/>
        <v>210</v>
      </c>
      <c r="X9" s="84">
        <f t="shared" si="1"/>
        <v>195</v>
      </c>
      <c r="Y9" s="84">
        <f t="shared" si="1"/>
        <v>180</v>
      </c>
      <c r="Z9" s="84">
        <f t="shared" si="1"/>
        <v>165</v>
      </c>
      <c r="AA9" s="84">
        <f t="shared" si="1"/>
        <v>150</v>
      </c>
      <c r="AB9" s="84">
        <f t="shared" si="1"/>
        <v>135</v>
      </c>
      <c r="AC9" s="84">
        <f t="shared" si="1"/>
        <v>120</v>
      </c>
      <c r="AD9" s="84">
        <f t="shared" si="2"/>
        <v>105</v>
      </c>
      <c r="AE9" s="84">
        <f t="shared" si="2"/>
        <v>90</v>
      </c>
      <c r="AF9" s="84">
        <f t="shared" si="2"/>
        <v>75</v>
      </c>
      <c r="AG9" s="84">
        <f t="shared" si="2"/>
        <v>60</v>
      </c>
      <c r="AH9" s="84">
        <f t="shared" si="2"/>
        <v>45</v>
      </c>
      <c r="AI9" s="84">
        <f t="shared" si="2"/>
        <v>30</v>
      </c>
      <c r="AJ9" s="84">
        <f t="shared" si="2"/>
        <v>15</v>
      </c>
      <c r="AK9" s="84">
        <f t="shared" si="2"/>
        <v>0</v>
      </c>
    </row>
    <row r="10" spans="1:37">
      <c r="D10" s="81">
        <v>90</v>
      </c>
      <c r="E10" s="1">
        <v>90</v>
      </c>
      <c r="F10" s="2" t="s">
        <v>236</v>
      </c>
      <c r="K10" s="84">
        <v>105</v>
      </c>
      <c r="L10" s="16" t="str">
        <f t="shared" si="0"/>
        <v>↙↓</v>
      </c>
      <c r="M10" s="84">
        <f t="shared" si="3"/>
        <v>30</v>
      </c>
      <c r="N10" s="84">
        <f t="shared" si="1"/>
        <v>15</v>
      </c>
      <c r="O10" s="84">
        <f t="shared" si="1"/>
        <v>0</v>
      </c>
      <c r="P10" s="84">
        <f t="shared" si="1"/>
        <v>345</v>
      </c>
      <c r="Q10" s="84">
        <f t="shared" si="1"/>
        <v>330</v>
      </c>
      <c r="R10" s="84">
        <f t="shared" si="1"/>
        <v>315</v>
      </c>
      <c r="S10" s="84">
        <f t="shared" si="1"/>
        <v>300</v>
      </c>
      <c r="T10" s="84">
        <f t="shared" si="1"/>
        <v>285</v>
      </c>
      <c r="U10" s="84">
        <f t="shared" si="1"/>
        <v>270</v>
      </c>
      <c r="V10" s="84">
        <f t="shared" si="1"/>
        <v>255</v>
      </c>
      <c r="W10" s="84">
        <f t="shared" si="1"/>
        <v>240</v>
      </c>
      <c r="X10" s="84">
        <f t="shared" si="1"/>
        <v>225</v>
      </c>
      <c r="Y10" s="84">
        <f t="shared" si="1"/>
        <v>210</v>
      </c>
      <c r="Z10" s="84">
        <f t="shared" si="1"/>
        <v>195</v>
      </c>
      <c r="AA10" s="84">
        <f t="shared" si="1"/>
        <v>180</v>
      </c>
      <c r="AB10" s="84">
        <f t="shared" si="1"/>
        <v>165</v>
      </c>
      <c r="AC10" s="84">
        <f t="shared" si="1"/>
        <v>150</v>
      </c>
      <c r="AD10" s="84">
        <f t="shared" si="2"/>
        <v>135</v>
      </c>
      <c r="AE10" s="84">
        <f t="shared" si="2"/>
        <v>120</v>
      </c>
      <c r="AF10" s="84">
        <f t="shared" si="2"/>
        <v>105</v>
      </c>
      <c r="AG10" s="84">
        <f t="shared" si="2"/>
        <v>90</v>
      </c>
      <c r="AH10" s="84">
        <f t="shared" si="2"/>
        <v>75</v>
      </c>
      <c r="AI10" s="84">
        <f t="shared" si="2"/>
        <v>60</v>
      </c>
      <c r="AJ10" s="84">
        <f t="shared" si="2"/>
        <v>45</v>
      </c>
      <c r="AK10" s="84">
        <f t="shared" si="2"/>
        <v>30</v>
      </c>
    </row>
    <row r="11" spans="1:37">
      <c r="D11" s="81">
        <v>91</v>
      </c>
      <c r="E11" s="1">
        <v>134</v>
      </c>
      <c r="F11" s="2" t="s">
        <v>237</v>
      </c>
      <c r="K11" s="84">
        <v>120</v>
      </c>
      <c r="L11" s="16" t="str">
        <f t="shared" si="0"/>
        <v>↙↓</v>
      </c>
      <c r="M11" s="84">
        <f t="shared" si="3"/>
        <v>60</v>
      </c>
      <c r="N11" s="84">
        <f t="shared" si="1"/>
        <v>45</v>
      </c>
      <c r="O11" s="84">
        <f t="shared" si="1"/>
        <v>30</v>
      </c>
      <c r="P11" s="84">
        <f t="shared" si="1"/>
        <v>15</v>
      </c>
      <c r="Q11" s="84">
        <f t="shared" si="1"/>
        <v>0</v>
      </c>
      <c r="R11" s="84">
        <f t="shared" si="1"/>
        <v>345</v>
      </c>
      <c r="S11" s="84">
        <f t="shared" si="1"/>
        <v>330</v>
      </c>
      <c r="T11" s="84">
        <f t="shared" si="1"/>
        <v>315</v>
      </c>
      <c r="U11" s="84">
        <f t="shared" si="1"/>
        <v>300</v>
      </c>
      <c r="V11" s="84">
        <f t="shared" si="1"/>
        <v>285</v>
      </c>
      <c r="W11" s="84">
        <f t="shared" si="1"/>
        <v>270</v>
      </c>
      <c r="X11" s="84">
        <f t="shared" si="1"/>
        <v>255</v>
      </c>
      <c r="Y11" s="84">
        <f t="shared" si="1"/>
        <v>240</v>
      </c>
      <c r="Z11" s="84">
        <f t="shared" si="1"/>
        <v>225</v>
      </c>
      <c r="AA11" s="84">
        <f t="shared" si="1"/>
        <v>210</v>
      </c>
      <c r="AB11" s="84">
        <f t="shared" si="1"/>
        <v>195</v>
      </c>
      <c r="AC11" s="84">
        <f t="shared" si="1"/>
        <v>180</v>
      </c>
      <c r="AD11" s="84">
        <f t="shared" si="2"/>
        <v>165</v>
      </c>
      <c r="AE11" s="84">
        <f t="shared" si="2"/>
        <v>150</v>
      </c>
      <c r="AF11" s="84">
        <f t="shared" si="2"/>
        <v>135</v>
      </c>
      <c r="AG11" s="84">
        <f t="shared" si="2"/>
        <v>120</v>
      </c>
      <c r="AH11" s="84">
        <f t="shared" si="2"/>
        <v>105</v>
      </c>
      <c r="AI11" s="84">
        <f t="shared" si="2"/>
        <v>90</v>
      </c>
      <c r="AJ11" s="84">
        <f t="shared" si="2"/>
        <v>75</v>
      </c>
      <c r="AK11" s="84">
        <f t="shared" si="2"/>
        <v>60</v>
      </c>
    </row>
    <row r="12" spans="1:37">
      <c r="D12" s="81">
        <v>135</v>
      </c>
      <c r="E12" s="1">
        <v>135</v>
      </c>
      <c r="F12" s="2" t="s">
        <v>225</v>
      </c>
      <c r="K12" s="84">
        <v>135</v>
      </c>
      <c r="L12" s="16" t="str">
        <f t="shared" si="0"/>
        <v>↙</v>
      </c>
      <c r="M12" s="84">
        <f t="shared" si="3"/>
        <v>90</v>
      </c>
      <c r="N12" s="84">
        <f t="shared" si="1"/>
        <v>75</v>
      </c>
      <c r="O12" s="84">
        <f t="shared" si="1"/>
        <v>60</v>
      </c>
      <c r="P12" s="84">
        <f t="shared" si="1"/>
        <v>45</v>
      </c>
      <c r="Q12" s="84">
        <f t="shared" si="1"/>
        <v>30</v>
      </c>
      <c r="R12" s="84">
        <f t="shared" si="1"/>
        <v>15</v>
      </c>
      <c r="S12" s="84">
        <f t="shared" si="1"/>
        <v>0</v>
      </c>
      <c r="T12" s="84">
        <f t="shared" si="1"/>
        <v>345</v>
      </c>
      <c r="U12" s="84">
        <f t="shared" si="1"/>
        <v>330</v>
      </c>
      <c r="V12" s="84">
        <f t="shared" si="1"/>
        <v>315</v>
      </c>
      <c r="W12" s="84">
        <f t="shared" si="1"/>
        <v>300</v>
      </c>
      <c r="X12" s="84">
        <f t="shared" si="1"/>
        <v>285</v>
      </c>
      <c r="Y12" s="84">
        <f t="shared" si="1"/>
        <v>270</v>
      </c>
      <c r="Z12" s="84">
        <f t="shared" si="1"/>
        <v>255</v>
      </c>
      <c r="AA12" s="84">
        <f t="shared" si="1"/>
        <v>240</v>
      </c>
      <c r="AB12" s="84">
        <f t="shared" si="1"/>
        <v>225</v>
      </c>
      <c r="AC12" s="84">
        <f t="shared" si="1"/>
        <v>210</v>
      </c>
      <c r="AD12" s="84">
        <f t="shared" si="2"/>
        <v>195</v>
      </c>
      <c r="AE12" s="84">
        <f t="shared" si="2"/>
        <v>180</v>
      </c>
      <c r="AF12" s="84">
        <f t="shared" si="2"/>
        <v>165</v>
      </c>
      <c r="AG12" s="84">
        <f t="shared" si="2"/>
        <v>150</v>
      </c>
      <c r="AH12" s="84">
        <f t="shared" si="2"/>
        <v>135</v>
      </c>
      <c r="AI12" s="84">
        <f t="shared" si="2"/>
        <v>120</v>
      </c>
      <c r="AJ12" s="84">
        <f t="shared" si="2"/>
        <v>105</v>
      </c>
      <c r="AK12" s="84">
        <f t="shared" si="2"/>
        <v>90</v>
      </c>
    </row>
    <row r="13" spans="1:37">
      <c r="D13" s="81">
        <v>136</v>
      </c>
      <c r="E13" s="1">
        <v>179</v>
      </c>
      <c r="F13" s="2" t="s">
        <v>238</v>
      </c>
      <c r="K13" s="84">
        <v>150</v>
      </c>
      <c r="L13" s="16" t="str">
        <f t="shared" si="0"/>
        <v>←↙</v>
      </c>
      <c r="M13" s="84">
        <f t="shared" si="3"/>
        <v>120</v>
      </c>
      <c r="N13" s="84">
        <f t="shared" si="1"/>
        <v>105</v>
      </c>
      <c r="O13" s="84">
        <f t="shared" si="1"/>
        <v>90</v>
      </c>
      <c r="P13" s="84">
        <f t="shared" si="1"/>
        <v>75</v>
      </c>
      <c r="Q13" s="84">
        <f t="shared" si="1"/>
        <v>60</v>
      </c>
      <c r="R13" s="84">
        <f t="shared" si="1"/>
        <v>45</v>
      </c>
      <c r="S13" s="84">
        <f t="shared" si="1"/>
        <v>30</v>
      </c>
      <c r="T13" s="84">
        <f t="shared" si="1"/>
        <v>15</v>
      </c>
      <c r="U13" s="84">
        <f t="shared" si="1"/>
        <v>0</v>
      </c>
      <c r="V13" s="84">
        <f t="shared" si="1"/>
        <v>345</v>
      </c>
      <c r="W13" s="84">
        <f t="shared" si="1"/>
        <v>330</v>
      </c>
      <c r="X13" s="84">
        <f t="shared" si="1"/>
        <v>315</v>
      </c>
      <c r="Y13" s="84">
        <f t="shared" si="1"/>
        <v>300</v>
      </c>
      <c r="Z13" s="84">
        <f t="shared" si="1"/>
        <v>285</v>
      </c>
      <c r="AA13" s="84">
        <f t="shared" si="1"/>
        <v>270</v>
      </c>
      <c r="AB13" s="84">
        <f t="shared" si="1"/>
        <v>255</v>
      </c>
      <c r="AC13" s="84">
        <f t="shared" si="1"/>
        <v>240</v>
      </c>
      <c r="AD13" s="84">
        <f t="shared" si="2"/>
        <v>225</v>
      </c>
      <c r="AE13" s="84">
        <f t="shared" si="2"/>
        <v>210</v>
      </c>
      <c r="AF13" s="84">
        <f t="shared" si="2"/>
        <v>195</v>
      </c>
      <c r="AG13" s="84">
        <f t="shared" si="2"/>
        <v>180</v>
      </c>
      <c r="AH13" s="84">
        <f t="shared" si="2"/>
        <v>165</v>
      </c>
      <c r="AI13" s="84">
        <f t="shared" si="2"/>
        <v>150</v>
      </c>
      <c r="AJ13" s="84">
        <f t="shared" si="2"/>
        <v>135</v>
      </c>
      <c r="AK13" s="84">
        <f t="shared" si="2"/>
        <v>120</v>
      </c>
    </row>
    <row r="14" spans="1:37">
      <c r="D14" s="81">
        <v>180</v>
      </c>
      <c r="E14" s="1">
        <v>180</v>
      </c>
      <c r="F14" s="2" t="s">
        <v>226</v>
      </c>
      <c r="K14" s="84">
        <v>165</v>
      </c>
      <c r="L14" s="16" t="str">
        <f t="shared" si="0"/>
        <v>←↙</v>
      </c>
      <c r="M14" s="84">
        <f t="shared" si="3"/>
        <v>150</v>
      </c>
      <c r="N14" s="84">
        <f t="shared" si="1"/>
        <v>135</v>
      </c>
      <c r="O14" s="84">
        <f t="shared" si="1"/>
        <v>120</v>
      </c>
      <c r="P14" s="84">
        <f t="shared" si="1"/>
        <v>105</v>
      </c>
      <c r="Q14" s="84">
        <f t="shared" si="1"/>
        <v>90</v>
      </c>
      <c r="R14" s="84">
        <f t="shared" si="1"/>
        <v>75</v>
      </c>
      <c r="S14" s="84">
        <f t="shared" si="1"/>
        <v>60</v>
      </c>
      <c r="T14" s="84">
        <f t="shared" si="1"/>
        <v>45</v>
      </c>
      <c r="U14" s="84">
        <f t="shared" si="1"/>
        <v>30</v>
      </c>
      <c r="V14" s="84">
        <f t="shared" si="1"/>
        <v>15</v>
      </c>
      <c r="W14" s="84">
        <f t="shared" si="1"/>
        <v>0</v>
      </c>
      <c r="X14" s="84">
        <f t="shared" si="1"/>
        <v>345</v>
      </c>
      <c r="Y14" s="84">
        <f t="shared" si="1"/>
        <v>330</v>
      </c>
      <c r="Z14" s="84">
        <f t="shared" si="1"/>
        <v>315</v>
      </c>
      <c r="AA14" s="84">
        <f t="shared" si="1"/>
        <v>300</v>
      </c>
      <c r="AB14" s="84">
        <f t="shared" si="1"/>
        <v>285</v>
      </c>
      <c r="AC14" s="84">
        <f t="shared" si="1"/>
        <v>270</v>
      </c>
      <c r="AD14" s="84">
        <f t="shared" si="2"/>
        <v>255</v>
      </c>
      <c r="AE14" s="84">
        <f t="shared" si="2"/>
        <v>240</v>
      </c>
      <c r="AF14" s="84">
        <f t="shared" si="2"/>
        <v>225</v>
      </c>
      <c r="AG14" s="84">
        <f t="shared" si="2"/>
        <v>210</v>
      </c>
      <c r="AH14" s="84">
        <f t="shared" si="2"/>
        <v>195</v>
      </c>
      <c r="AI14" s="84">
        <f t="shared" si="2"/>
        <v>180</v>
      </c>
      <c r="AJ14" s="84">
        <f t="shared" si="2"/>
        <v>165</v>
      </c>
      <c r="AK14" s="84">
        <f t="shared" si="2"/>
        <v>150</v>
      </c>
    </row>
    <row r="15" spans="1:37">
      <c r="D15" s="81">
        <v>181</v>
      </c>
      <c r="E15" s="1">
        <v>224</v>
      </c>
      <c r="F15" s="2" t="s">
        <v>239</v>
      </c>
      <c r="K15" s="84">
        <v>180</v>
      </c>
      <c r="L15" s="16" t="str">
        <f t="shared" si="0"/>
        <v>←</v>
      </c>
      <c r="M15" s="84">
        <f t="shared" si="3"/>
        <v>180</v>
      </c>
      <c r="N15" s="84">
        <f t="shared" si="1"/>
        <v>165</v>
      </c>
      <c r="O15" s="84">
        <f t="shared" si="1"/>
        <v>150</v>
      </c>
      <c r="P15" s="84">
        <f t="shared" si="1"/>
        <v>135</v>
      </c>
      <c r="Q15" s="84">
        <f t="shared" si="1"/>
        <v>120</v>
      </c>
      <c r="R15" s="84">
        <f t="shared" si="1"/>
        <v>105</v>
      </c>
      <c r="S15" s="84">
        <f t="shared" si="1"/>
        <v>90</v>
      </c>
      <c r="T15" s="84">
        <f t="shared" si="1"/>
        <v>75</v>
      </c>
      <c r="U15" s="84">
        <f t="shared" si="1"/>
        <v>60</v>
      </c>
      <c r="V15" s="84">
        <f t="shared" si="1"/>
        <v>45</v>
      </c>
      <c r="W15" s="84">
        <f t="shared" si="1"/>
        <v>30</v>
      </c>
      <c r="X15" s="84">
        <f t="shared" si="1"/>
        <v>15</v>
      </c>
      <c r="Y15" s="84">
        <f t="shared" si="1"/>
        <v>0</v>
      </c>
      <c r="Z15" s="84">
        <f t="shared" si="1"/>
        <v>345</v>
      </c>
      <c r="AA15" s="84">
        <f t="shared" si="1"/>
        <v>330</v>
      </c>
      <c r="AB15" s="84">
        <f t="shared" si="1"/>
        <v>315</v>
      </c>
      <c r="AC15" s="84">
        <f t="shared" si="1"/>
        <v>300</v>
      </c>
      <c r="AD15" s="84">
        <f t="shared" si="2"/>
        <v>285</v>
      </c>
      <c r="AE15" s="84">
        <f t="shared" si="2"/>
        <v>270</v>
      </c>
      <c r="AF15" s="84">
        <f t="shared" si="2"/>
        <v>255</v>
      </c>
      <c r="AG15" s="84">
        <f t="shared" si="2"/>
        <v>240</v>
      </c>
      <c r="AH15" s="84">
        <f t="shared" si="2"/>
        <v>225</v>
      </c>
      <c r="AI15" s="84">
        <f t="shared" si="2"/>
        <v>210</v>
      </c>
      <c r="AJ15" s="84">
        <f t="shared" si="2"/>
        <v>195</v>
      </c>
      <c r="AK15" s="84">
        <f t="shared" si="2"/>
        <v>180</v>
      </c>
    </row>
    <row r="16" spans="1:37">
      <c r="D16" s="81">
        <v>225</v>
      </c>
      <c r="E16" s="1">
        <v>225</v>
      </c>
      <c r="F16" s="2" t="s">
        <v>227</v>
      </c>
      <c r="K16" s="84">
        <v>195</v>
      </c>
      <c r="L16" s="16" t="str">
        <f t="shared" si="0"/>
        <v>←↖</v>
      </c>
      <c r="M16" s="84">
        <f t="shared" si="3"/>
        <v>210</v>
      </c>
      <c r="N16" s="84">
        <f t="shared" si="1"/>
        <v>195</v>
      </c>
      <c r="O16" s="84">
        <f t="shared" si="1"/>
        <v>180</v>
      </c>
      <c r="P16" s="84">
        <f t="shared" si="1"/>
        <v>165</v>
      </c>
      <c r="Q16" s="84">
        <f t="shared" si="1"/>
        <v>150</v>
      </c>
      <c r="R16" s="84">
        <f t="shared" si="1"/>
        <v>135</v>
      </c>
      <c r="S16" s="84">
        <f t="shared" si="1"/>
        <v>120</v>
      </c>
      <c r="T16" s="84">
        <f t="shared" si="1"/>
        <v>105</v>
      </c>
      <c r="U16" s="84">
        <f t="shared" si="1"/>
        <v>90</v>
      </c>
      <c r="V16" s="84">
        <f t="shared" si="1"/>
        <v>75</v>
      </c>
      <c r="W16" s="84">
        <f t="shared" si="1"/>
        <v>60</v>
      </c>
      <c r="X16" s="84">
        <f t="shared" si="1"/>
        <v>45</v>
      </c>
      <c r="Y16" s="84">
        <f t="shared" si="1"/>
        <v>30</v>
      </c>
      <c r="Z16" s="84">
        <f t="shared" si="1"/>
        <v>15</v>
      </c>
      <c r="AA16" s="84">
        <f t="shared" si="1"/>
        <v>0</v>
      </c>
      <c r="AB16" s="84">
        <f t="shared" si="1"/>
        <v>345</v>
      </c>
      <c r="AC16" s="84">
        <f t="shared" si="1"/>
        <v>330</v>
      </c>
      <c r="AD16" s="84">
        <f t="shared" si="2"/>
        <v>315</v>
      </c>
      <c r="AE16" s="84">
        <f t="shared" si="2"/>
        <v>300</v>
      </c>
      <c r="AF16" s="84">
        <f t="shared" si="2"/>
        <v>285</v>
      </c>
      <c r="AG16" s="84">
        <f t="shared" si="2"/>
        <v>270</v>
      </c>
      <c r="AH16" s="84">
        <f t="shared" si="2"/>
        <v>255</v>
      </c>
      <c r="AI16" s="84">
        <f t="shared" si="2"/>
        <v>240</v>
      </c>
      <c r="AJ16" s="84">
        <f t="shared" si="2"/>
        <v>225</v>
      </c>
      <c r="AK16" s="84">
        <f t="shared" si="2"/>
        <v>210</v>
      </c>
    </row>
    <row r="17" spans="4:37">
      <c r="D17" s="81">
        <v>226</v>
      </c>
      <c r="E17" s="1">
        <v>269</v>
      </c>
      <c r="F17" s="2" t="s">
        <v>240</v>
      </c>
      <c r="K17" s="84">
        <v>210</v>
      </c>
      <c r="L17" s="16" t="str">
        <f t="shared" si="0"/>
        <v>←↖</v>
      </c>
      <c r="M17" s="84">
        <f t="shared" si="3"/>
        <v>240</v>
      </c>
      <c r="N17" s="84">
        <f t="shared" si="1"/>
        <v>225</v>
      </c>
      <c r="O17" s="84">
        <f t="shared" si="1"/>
        <v>210</v>
      </c>
      <c r="P17" s="84">
        <f t="shared" si="1"/>
        <v>195</v>
      </c>
      <c r="Q17" s="84">
        <f t="shared" si="1"/>
        <v>180</v>
      </c>
      <c r="R17" s="84">
        <f t="shared" si="1"/>
        <v>165</v>
      </c>
      <c r="S17" s="84">
        <f t="shared" si="1"/>
        <v>150</v>
      </c>
      <c r="T17" s="84">
        <f t="shared" si="1"/>
        <v>135</v>
      </c>
      <c r="U17" s="84">
        <f t="shared" si="1"/>
        <v>120</v>
      </c>
      <c r="V17" s="84">
        <f t="shared" si="1"/>
        <v>105</v>
      </c>
      <c r="W17" s="84">
        <f t="shared" si="1"/>
        <v>90</v>
      </c>
      <c r="X17" s="84">
        <f t="shared" si="1"/>
        <v>75</v>
      </c>
      <c r="Y17" s="84">
        <f t="shared" si="1"/>
        <v>60</v>
      </c>
      <c r="Z17" s="84">
        <f t="shared" si="1"/>
        <v>45</v>
      </c>
      <c r="AA17" s="84">
        <f t="shared" si="1"/>
        <v>30</v>
      </c>
      <c r="AB17" s="84">
        <f t="shared" si="1"/>
        <v>15</v>
      </c>
      <c r="AC17" s="84">
        <f t="shared" si="1"/>
        <v>0</v>
      </c>
      <c r="AD17" s="84">
        <f t="shared" si="2"/>
        <v>345</v>
      </c>
      <c r="AE17" s="84">
        <f t="shared" si="2"/>
        <v>330</v>
      </c>
      <c r="AF17" s="84">
        <f t="shared" si="2"/>
        <v>315</v>
      </c>
      <c r="AG17" s="84">
        <f t="shared" si="2"/>
        <v>300</v>
      </c>
      <c r="AH17" s="84">
        <f t="shared" si="2"/>
        <v>285</v>
      </c>
      <c r="AI17" s="84">
        <f t="shared" si="2"/>
        <v>270</v>
      </c>
      <c r="AJ17" s="84">
        <f t="shared" si="2"/>
        <v>255</v>
      </c>
      <c r="AK17" s="84">
        <f t="shared" si="2"/>
        <v>240</v>
      </c>
    </row>
    <row r="18" spans="4:37">
      <c r="D18" s="81">
        <v>270</v>
      </c>
      <c r="E18" s="1">
        <v>270</v>
      </c>
      <c r="F18" s="2" t="s">
        <v>241</v>
      </c>
      <c r="K18" s="84">
        <v>225</v>
      </c>
      <c r="L18" s="16" t="str">
        <f t="shared" si="0"/>
        <v>↖</v>
      </c>
      <c r="M18" s="84">
        <f t="shared" si="3"/>
        <v>270</v>
      </c>
      <c r="N18" s="84">
        <f t="shared" si="1"/>
        <v>255</v>
      </c>
      <c r="O18" s="84">
        <f t="shared" si="1"/>
        <v>240</v>
      </c>
      <c r="P18" s="84">
        <f t="shared" si="1"/>
        <v>225</v>
      </c>
      <c r="Q18" s="84">
        <f t="shared" si="1"/>
        <v>210</v>
      </c>
      <c r="R18" s="84">
        <f t="shared" si="1"/>
        <v>195</v>
      </c>
      <c r="S18" s="84">
        <f t="shared" si="1"/>
        <v>180</v>
      </c>
      <c r="T18" s="84">
        <f t="shared" si="1"/>
        <v>165</v>
      </c>
      <c r="U18" s="84">
        <f t="shared" si="1"/>
        <v>150</v>
      </c>
      <c r="V18" s="84">
        <f t="shared" si="1"/>
        <v>135</v>
      </c>
      <c r="W18" s="84">
        <f t="shared" si="1"/>
        <v>120</v>
      </c>
      <c r="X18" s="84">
        <f t="shared" si="1"/>
        <v>105</v>
      </c>
      <c r="Y18" s="84">
        <f t="shared" si="1"/>
        <v>90</v>
      </c>
      <c r="Z18" s="84">
        <f t="shared" si="1"/>
        <v>75</v>
      </c>
      <c r="AA18" s="84">
        <f t="shared" si="1"/>
        <v>60</v>
      </c>
      <c r="AB18" s="84">
        <f t="shared" si="1"/>
        <v>45</v>
      </c>
      <c r="AC18" s="84">
        <f t="shared" ref="AC18:AK27" si="4">MOD(($K18+($K18+180-AC$1)),360)</f>
        <v>30</v>
      </c>
      <c r="AD18" s="84">
        <f t="shared" si="2"/>
        <v>15</v>
      </c>
      <c r="AE18" s="84">
        <f t="shared" si="2"/>
        <v>0</v>
      </c>
      <c r="AF18" s="84">
        <f t="shared" si="2"/>
        <v>345</v>
      </c>
      <c r="AG18" s="84">
        <f t="shared" si="2"/>
        <v>330</v>
      </c>
      <c r="AH18" s="84">
        <f t="shared" si="2"/>
        <v>315</v>
      </c>
      <c r="AI18" s="84">
        <f t="shared" si="2"/>
        <v>300</v>
      </c>
      <c r="AJ18" s="84">
        <f t="shared" si="2"/>
        <v>285</v>
      </c>
      <c r="AK18" s="84">
        <f t="shared" si="2"/>
        <v>270</v>
      </c>
    </row>
    <row r="19" spans="4:37">
      <c r="D19" s="81">
        <v>271</v>
      </c>
      <c r="E19" s="1">
        <v>314</v>
      </c>
      <c r="F19" s="2" t="s">
        <v>242</v>
      </c>
      <c r="K19" s="84">
        <v>240</v>
      </c>
      <c r="L19" s="16" t="str">
        <f t="shared" si="0"/>
        <v>↖↑</v>
      </c>
      <c r="M19" s="84">
        <f t="shared" si="3"/>
        <v>300</v>
      </c>
      <c r="N19" s="84">
        <f t="shared" si="3"/>
        <v>285</v>
      </c>
      <c r="O19" s="84">
        <f t="shared" si="3"/>
        <v>270</v>
      </c>
      <c r="P19" s="84">
        <f t="shared" si="3"/>
        <v>255</v>
      </c>
      <c r="Q19" s="84">
        <f t="shared" si="3"/>
        <v>240</v>
      </c>
      <c r="R19" s="84">
        <f t="shared" si="3"/>
        <v>225</v>
      </c>
      <c r="S19" s="84">
        <f t="shared" si="3"/>
        <v>210</v>
      </c>
      <c r="T19" s="84">
        <f t="shared" si="3"/>
        <v>195</v>
      </c>
      <c r="U19" s="84">
        <f t="shared" si="3"/>
        <v>180</v>
      </c>
      <c r="V19" s="84">
        <f t="shared" si="3"/>
        <v>165</v>
      </c>
      <c r="W19" s="84">
        <f t="shared" si="3"/>
        <v>150</v>
      </c>
      <c r="X19" s="84">
        <f t="shared" si="3"/>
        <v>135</v>
      </c>
      <c r="Y19" s="84">
        <f t="shared" si="3"/>
        <v>120</v>
      </c>
      <c r="Z19" s="84">
        <f t="shared" si="3"/>
        <v>105</v>
      </c>
      <c r="AA19" s="84">
        <f t="shared" si="3"/>
        <v>90</v>
      </c>
      <c r="AB19" s="84">
        <f t="shared" si="3"/>
        <v>75</v>
      </c>
      <c r="AC19" s="84">
        <f t="shared" si="4"/>
        <v>60</v>
      </c>
      <c r="AD19" s="84">
        <f t="shared" si="4"/>
        <v>45</v>
      </c>
      <c r="AE19" s="84">
        <f t="shared" si="4"/>
        <v>30</v>
      </c>
      <c r="AF19" s="84">
        <f t="shared" si="4"/>
        <v>15</v>
      </c>
      <c r="AG19" s="84">
        <f t="shared" si="4"/>
        <v>0</v>
      </c>
      <c r="AH19" s="84">
        <f t="shared" si="4"/>
        <v>345</v>
      </c>
      <c r="AI19" s="84">
        <f t="shared" si="4"/>
        <v>330</v>
      </c>
      <c r="AJ19" s="84">
        <f t="shared" si="4"/>
        <v>315</v>
      </c>
      <c r="AK19" s="84">
        <f t="shared" si="4"/>
        <v>300</v>
      </c>
    </row>
    <row r="20" spans="4:37">
      <c r="D20" s="81">
        <v>315</v>
      </c>
      <c r="E20" s="1">
        <v>315</v>
      </c>
      <c r="F20" s="2" t="s">
        <v>243</v>
      </c>
      <c r="K20" s="84">
        <v>255</v>
      </c>
      <c r="L20" s="16" t="str">
        <f t="shared" si="0"/>
        <v>↖↑</v>
      </c>
      <c r="M20" s="84">
        <f t="shared" ref="M20:AB27" si="5">MOD(($K20+($K20+180-M$1)),360)</f>
        <v>330</v>
      </c>
      <c r="N20" s="84">
        <f t="shared" si="5"/>
        <v>315</v>
      </c>
      <c r="O20" s="84">
        <f t="shared" si="5"/>
        <v>300</v>
      </c>
      <c r="P20" s="84">
        <f t="shared" si="5"/>
        <v>285</v>
      </c>
      <c r="Q20" s="84">
        <f t="shared" si="5"/>
        <v>270</v>
      </c>
      <c r="R20" s="84">
        <f t="shared" si="5"/>
        <v>255</v>
      </c>
      <c r="S20" s="84">
        <f t="shared" si="5"/>
        <v>240</v>
      </c>
      <c r="T20" s="84">
        <f t="shared" si="5"/>
        <v>225</v>
      </c>
      <c r="U20" s="84">
        <f t="shared" si="5"/>
        <v>210</v>
      </c>
      <c r="V20" s="84">
        <f t="shared" si="5"/>
        <v>195</v>
      </c>
      <c r="W20" s="84">
        <f t="shared" si="5"/>
        <v>180</v>
      </c>
      <c r="X20" s="84">
        <f t="shared" si="5"/>
        <v>165</v>
      </c>
      <c r="Y20" s="84">
        <f t="shared" si="5"/>
        <v>150</v>
      </c>
      <c r="Z20" s="84">
        <f t="shared" si="5"/>
        <v>135</v>
      </c>
      <c r="AA20" s="84">
        <f t="shared" si="5"/>
        <v>120</v>
      </c>
      <c r="AB20" s="84">
        <f t="shared" si="5"/>
        <v>105</v>
      </c>
      <c r="AC20" s="84">
        <f t="shared" si="4"/>
        <v>90</v>
      </c>
      <c r="AD20" s="84">
        <f t="shared" si="4"/>
        <v>75</v>
      </c>
      <c r="AE20" s="84">
        <f t="shared" si="4"/>
        <v>60</v>
      </c>
      <c r="AF20" s="84">
        <f t="shared" si="4"/>
        <v>45</v>
      </c>
      <c r="AG20" s="84">
        <f t="shared" si="4"/>
        <v>30</v>
      </c>
      <c r="AH20" s="84">
        <f t="shared" si="4"/>
        <v>15</v>
      </c>
      <c r="AI20" s="84">
        <f t="shared" si="4"/>
        <v>0</v>
      </c>
      <c r="AJ20" s="84">
        <f t="shared" si="4"/>
        <v>345</v>
      </c>
      <c r="AK20" s="84">
        <f t="shared" si="4"/>
        <v>330</v>
      </c>
    </row>
    <row r="21" spans="4:37">
      <c r="D21" s="81">
        <v>316</v>
      </c>
      <c r="E21" s="1">
        <v>359</v>
      </c>
      <c r="F21" s="2" t="s">
        <v>244</v>
      </c>
      <c r="K21" s="84">
        <v>270</v>
      </c>
      <c r="L21" s="16" t="str">
        <f t="shared" si="0"/>
        <v>　↑</v>
      </c>
      <c r="M21" s="84">
        <f t="shared" si="5"/>
        <v>0</v>
      </c>
      <c r="N21" s="84">
        <f t="shared" si="5"/>
        <v>345</v>
      </c>
      <c r="O21" s="84">
        <f t="shared" si="5"/>
        <v>330</v>
      </c>
      <c r="P21" s="84">
        <f t="shared" si="5"/>
        <v>315</v>
      </c>
      <c r="Q21" s="84">
        <f t="shared" si="5"/>
        <v>300</v>
      </c>
      <c r="R21" s="84">
        <f t="shared" si="5"/>
        <v>285</v>
      </c>
      <c r="S21" s="84">
        <f t="shared" si="5"/>
        <v>270</v>
      </c>
      <c r="T21" s="84">
        <f t="shared" si="5"/>
        <v>255</v>
      </c>
      <c r="U21" s="84">
        <f t="shared" si="5"/>
        <v>240</v>
      </c>
      <c r="V21" s="84">
        <f t="shared" si="5"/>
        <v>225</v>
      </c>
      <c r="W21" s="84">
        <f t="shared" si="5"/>
        <v>210</v>
      </c>
      <c r="X21" s="84">
        <f t="shared" si="5"/>
        <v>195</v>
      </c>
      <c r="Y21" s="84">
        <f t="shared" si="5"/>
        <v>180</v>
      </c>
      <c r="Z21" s="84">
        <f t="shared" si="5"/>
        <v>165</v>
      </c>
      <c r="AA21" s="84">
        <f t="shared" si="5"/>
        <v>150</v>
      </c>
      <c r="AB21" s="84">
        <f t="shared" si="5"/>
        <v>135</v>
      </c>
      <c r="AC21" s="84">
        <f t="shared" si="4"/>
        <v>120</v>
      </c>
      <c r="AD21" s="84">
        <f t="shared" si="4"/>
        <v>105</v>
      </c>
      <c r="AE21" s="84">
        <f t="shared" si="4"/>
        <v>90</v>
      </c>
      <c r="AF21" s="84">
        <f t="shared" si="4"/>
        <v>75</v>
      </c>
      <c r="AG21" s="84">
        <f t="shared" si="4"/>
        <v>60</v>
      </c>
      <c r="AH21" s="84">
        <f t="shared" si="4"/>
        <v>45</v>
      </c>
      <c r="AI21" s="84">
        <f t="shared" si="4"/>
        <v>30</v>
      </c>
      <c r="AJ21" s="84">
        <f t="shared" si="4"/>
        <v>15</v>
      </c>
      <c r="AK21" s="84">
        <f t="shared" si="4"/>
        <v>0</v>
      </c>
    </row>
    <row r="22" spans="4:37" ht="18.600000000000001" thickBot="1">
      <c r="D22" s="82">
        <v>360</v>
      </c>
      <c r="E22" s="83">
        <v>360</v>
      </c>
      <c r="F22" s="3" t="s">
        <v>232</v>
      </c>
      <c r="K22" s="84">
        <v>285</v>
      </c>
      <c r="L22" s="16" t="str">
        <f t="shared" si="0"/>
        <v>　↑↗</v>
      </c>
      <c r="M22" s="84">
        <f t="shared" si="5"/>
        <v>30</v>
      </c>
      <c r="N22" s="84">
        <f t="shared" si="5"/>
        <v>15</v>
      </c>
      <c r="O22" s="84">
        <f t="shared" si="5"/>
        <v>0</v>
      </c>
      <c r="P22" s="84">
        <f t="shared" si="5"/>
        <v>345</v>
      </c>
      <c r="Q22" s="84">
        <f t="shared" si="5"/>
        <v>330</v>
      </c>
      <c r="R22" s="84">
        <f t="shared" si="5"/>
        <v>315</v>
      </c>
      <c r="S22" s="84">
        <f t="shared" si="5"/>
        <v>300</v>
      </c>
      <c r="T22" s="84">
        <f t="shared" si="5"/>
        <v>285</v>
      </c>
      <c r="U22" s="84">
        <f t="shared" si="5"/>
        <v>270</v>
      </c>
      <c r="V22" s="84">
        <f t="shared" si="5"/>
        <v>255</v>
      </c>
      <c r="W22" s="84">
        <f t="shared" si="5"/>
        <v>240</v>
      </c>
      <c r="X22" s="84">
        <f t="shared" si="5"/>
        <v>225</v>
      </c>
      <c r="Y22" s="84">
        <f t="shared" si="5"/>
        <v>210</v>
      </c>
      <c r="Z22" s="84">
        <f t="shared" si="5"/>
        <v>195</v>
      </c>
      <c r="AA22" s="84">
        <f t="shared" si="5"/>
        <v>180</v>
      </c>
      <c r="AB22" s="84">
        <f t="shared" si="5"/>
        <v>165</v>
      </c>
      <c r="AC22" s="84">
        <f t="shared" si="4"/>
        <v>150</v>
      </c>
      <c r="AD22" s="84">
        <f t="shared" si="4"/>
        <v>135</v>
      </c>
      <c r="AE22" s="84">
        <f t="shared" si="4"/>
        <v>120</v>
      </c>
      <c r="AF22" s="84">
        <f t="shared" si="4"/>
        <v>105</v>
      </c>
      <c r="AG22" s="84">
        <f t="shared" si="4"/>
        <v>90</v>
      </c>
      <c r="AH22" s="84">
        <f t="shared" si="4"/>
        <v>75</v>
      </c>
      <c r="AI22" s="84">
        <f t="shared" si="4"/>
        <v>60</v>
      </c>
      <c r="AJ22" s="84">
        <f t="shared" si="4"/>
        <v>45</v>
      </c>
      <c r="AK22" s="84">
        <f t="shared" si="4"/>
        <v>30</v>
      </c>
    </row>
    <row r="23" spans="4:37">
      <c r="K23" s="84">
        <v>300</v>
      </c>
      <c r="L23" s="16" t="str">
        <f t="shared" si="0"/>
        <v>　↑↗</v>
      </c>
      <c r="M23" s="84">
        <f t="shared" si="5"/>
        <v>60</v>
      </c>
      <c r="N23" s="84">
        <f t="shared" si="5"/>
        <v>45</v>
      </c>
      <c r="O23" s="84">
        <f t="shared" si="5"/>
        <v>30</v>
      </c>
      <c r="P23" s="84">
        <f t="shared" si="5"/>
        <v>15</v>
      </c>
      <c r="Q23" s="84">
        <f t="shared" si="5"/>
        <v>0</v>
      </c>
      <c r="R23" s="84">
        <f t="shared" si="5"/>
        <v>345</v>
      </c>
      <c r="S23" s="84">
        <f t="shared" si="5"/>
        <v>330</v>
      </c>
      <c r="T23" s="84">
        <f t="shared" si="5"/>
        <v>315</v>
      </c>
      <c r="U23" s="84">
        <f t="shared" si="5"/>
        <v>300</v>
      </c>
      <c r="V23" s="84">
        <f t="shared" si="5"/>
        <v>285</v>
      </c>
      <c r="W23" s="84">
        <f t="shared" si="5"/>
        <v>270</v>
      </c>
      <c r="X23" s="84">
        <f t="shared" si="5"/>
        <v>255</v>
      </c>
      <c r="Y23" s="84">
        <f t="shared" si="5"/>
        <v>240</v>
      </c>
      <c r="Z23" s="84">
        <f t="shared" si="5"/>
        <v>225</v>
      </c>
      <c r="AA23" s="84">
        <f t="shared" si="5"/>
        <v>210</v>
      </c>
      <c r="AB23" s="84">
        <f t="shared" si="5"/>
        <v>195</v>
      </c>
      <c r="AC23" s="84">
        <f t="shared" si="4"/>
        <v>180</v>
      </c>
      <c r="AD23" s="84">
        <f t="shared" si="4"/>
        <v>165</v>
      </c>
      <c r="AE23" s="84">
        <f t="shared" si="4"/>
        <v>150</v>
      </c>
      <c r="AF23" s="84">
        <f t="shared" si="4"/>
        <v>135</v>
      </c>
      <c r="AG23" s="84">
        <f t="shared" si="4"/>
        <v>120</v>
      </c>
      <c r="AH23" s="84">
        <f t="shared" si="4"/>
        <v>105</v>
      </c>
      <c r="AI23" s="84">
        <f t="shared" si="4"/>
        <v>90</v>
      </c>
      <c r="AJ23" s="84">
        <f t="shared" si="4"/>
        <v>75</v>
      </c>
      <c r="AK23" s="84">
        <f t="shared" si="4"/>
        <v>60</v>
      </c>
    </row>
    <row r="24" spans="4:37">
      <c r="K24" s="84">
        <v>315</v>
      </c>
      <c r="L24" s="16" t="str">
        <f t="shared" si="0"/>
        <v>　　↗</v>
      </c>
      <c r="M24" s="84">
        <f t="shared" si="5"/>
        <v>90</v>
      </c>
      <c r="N24" s="84">
        <f t="shared" si="5"/>
        <v>75</v>
      </c>
      <c r="O24" s="84">
        <f t="shared" si="5"/>
        <v>60</v>
      </c>
      <c r="P24" s="84">
        <f t="shared" si="5"/>
        <v>45</v>
      </c>
      <c r="Q24" s="84">
        <f t="shared" si="5"/>
        <v>30</v>
      </c>
      <c r="R24" s="84">
        <f t="shared" si="5"/>
        <v>15</v>
      </c>
      <c r="S24" s="84">
        <f t="shared" si="5"/>
        <v>0</v>
      </c>
      <c r="T24" s="84">
        <f t="shared" si="5"/>
        <v>345</v>
      </c>
      <c r="U24" s="84">
        <f t="shared" si="5"/>
        <v>330</v>
      </c>
      <c r="V24" s="84">
        <f t="shared" si="5"/>
        <v>315</v>
      </c>
      <c r="W24" s="84">
        <f t="shared" si="5"/>
        <v>300</v>
      </c>
      <c r="X24" s="84">
        <f t="shared" si="5"/>
        <v>285</v>
      </c>
      <c r="Y24" s="84">
        <f t="shared" si="5"/>
        <v>270</v>
      </c>
      <c r="Z24" s="84">
        <f t="shared" si="5"/>
        <v>255</v>
      </c>
      <c r="AA24" s="84">
        <f t="shared" si="5"/>
        <v>240</v>
      </c>
      <c r="AB24" s="84">
        <f t="shared" si="5"/>
        <v>225</v>
      </c>
      <c r="AC24" s="84">
        <f t="shared" si="4"/>
        <v>210</v>
      </c>
      <c r="AD24" s="84">
        <f t="shared" si="4"/>
        <v>195</v>
      </c>
      <c r="AE24" s="84">
        <f t="shared" si="4"/>
        <v>180</v>
      </c>
      <c r="AF24" s="84">
        <f t="shared" si="4"/>
        <v>165</v>
      </c>
      <c r="AG24" s="84">
        <f t="shared" si="4"/>
        <v>150</v>
      </c>
      <c r="AH24" s="84">
        <f t="shared" si="4"/>
        <v>135</v>
      </c>
      <c r="AI24" s="84">
        <f t="shared" si="4"/>
        <v>120</v>
      </c>
      <c r="AJ24" s="84">
        <f t="shared" si="4"/>
        <v>105</v>
      </c>
      <c r="AK24" s="84">
        <f t="shared" si="4"/>
        <v>90</v>
      </c>
    </row>
    <row r="25" spans="4:37">
      <c r="K25" s="84">
        <v>330</v>
      </c>
      <c r="L25" s="16" t="str">
        <f t="shared" si="0"/>
        <v>　↗→</v>
      </c>
      <c r="M25" s="84">
        <f t="shared" si="5"/>
        <v>120</v>
      </c>
      <c r="N25" s="84">
        <f t="shared" si="5"/>
        <v>105</v>
      </c>
      <c r="O25" s="84">
        <f t="shared" si="5"/>
        <v>90</v>
      </c>
      <c r="P25" s="84">
        <f t="shared" si="5"/>
        <v>75</v>
      </c>
      <c r="Q25" s="84">
        <f t="shared" si="5"/>
        <v>60</v>
      </c>
      <c r="R25" s="84">
        <f t="shared" si="5"/>
        <v>45</v>
      </c>
      <c r="S25" s="84">
        <f t="shared" si="5"/>
        <v>30</v>
      </c>
      <c r="T25" s="84">
        <f t="shared" si="5"/>
        <v>15</v>
      </c>
      <c r="U25" s="84">
        <f t="shared" si="5"/>
        <v>0</v>
      </c>
      <c r="V25" s="84">
        <f t="shared" si="5"/>
        <v>345</v>
      </c>
      <c r="W25" s="84">
        <f t="shared" si="5"/>
        <v>330</v>
      </c>
      <c r="X25" s="84">
        <f t="shared" si="5"/>
        <v>315</v>
      </c>
      <c r="Y25" s="84">
        <f t="shared" si="5"/>
        <v>300</v>
      </c>
      <c r="Z25" s="84">
        <f t="shared" si="5"/>
        <v>285</v>
      </c>
      <c r="AA25" s="84">
        <f t="shared" si="5"/>
        <v>270</v>
      </c>
      <c r="AB25" s="84">
        <f t="shared" si="5"/>
        <v>255</v>
      </c>
      <c r="AC25" s="84">
        <f t="shared" si="4"/>
        <v>240</v>
      </c>
      <c r="AD25" s="84">
        <f t="shared" si="4"/>
        <v>225</v>
      </c>
      <c r="AE25" s="84">
        <f t="shared" si="4"/>
        <v>210</v>
      </c>
      <c r="AF25" s="84">
        <f t="shared" si="4"/>
        <v>195</v>
      </c>
      <c r="AG25" s="84">
        <f t="shared" si="4"/>
        <v>180</v>
      </c>
      <c r="AH25" s="84">
        <f t="shared" si="4"/>
        <v>165</v>
      </c>
      <c r="AI25" s="84">
        <f t="shared" si="4"/>
        <v>150</v>
      </c>
      <c r="AJ25" s="84">
        <f t="shared" si="4"/>
        <v>135</v>
      </c>
      <c r="AK25" s="84">
        <f t="shared" si="4"/>
        <v>120</v>
      </c>
    </row>
    <row r="26" spans="4:37">
      <c r="K26" s="84">
        <v>345</v>
      </c>
      <c r="L26" s="16" t="str">
        <f t="shared" si="0"/>
        <v>　↗→</v>
      </c>
      <c r="M26" s="84">
        <f t="shared" si="5"/>
        <v>150</v>
      </c>
      <c r="N26" s="84">
        <f t="shared" si="5"/>
        <v>135</v>
      </c>
      <c r="O26" s="84">
        <f t="shared" si="5"/>
        <v>120</v>
      </c>
      <c r="P26" s="84">
        <f t="shared" si="5"/>
        <v>105</v>
      </c>
      <c r="Q26" s="84">
        <f t="shared" si="5"/>
        <v>90</v>
      </c>
      <c r="R26" s="84">
        <f t="shared" si="5"/>
        <v>75</v>
      </c>
      <c r="S26" s="84">
        <f t="shared" si="5"/>
        <v>60</v>
      </c>
      <c r="T26" s="84">
        <f t="shared" si="5"/>
        <v>45</v>
      </c>
      <c r="U26" s="84">
        <f t="shared" si="5"/>
        <v>30</v>
      </c>
      <c r="V26" s="84">
        <f t="shared" si="5"/>
        <v>15</v>
      </c>
      <c r="W26" s="84">
        <f t="shared" si="5"/>
        <v>0</v>
      </c>
      <c r="X26" s="84">
        <f t="shared" si="5"/>
        <v>345</v>
      </c>
      <c r="Y26" s="84">
        <f t="shared" si="5"/>
        <v>330</v>
      </c>
      <c r="Z26" s="84">
        <f t="shared" si="5"/>
        <v>315</v>
      </c>
      <c r="AA26" s="84">
        <f t="shared" si="5"/>
        <v>300</v>
      </c>
      <c r="AB26" s="84">
        <f t="shared" si="5"/>
        <v>285</v>
      </c>
      <c r="AC26" s="84">
        <f t="shared" si="4"/>
        <v>270</v>
      </c>
      <c r="AD26" s="84">
        <f t="shared" si="4"/>
        <v>255</v>
      </c>
      <c r="AE26" s="84">
        <f t="shared" si="4"/>
        <v>240</v>
      </c>
      <c r="AF26" s="84">
        <f t="shared" si="4"/>
        <v>225</v>
      </c>
      <c r="AG26" s="84">
        <f t="shared" si="4"/>
        <v>210</v>
      </c>
      <c r="AH26" s="84">
        <f t="shared" si="4"/>
        <v>195</v>
      </c>
      <c r="AI26" s="84">
        <f t="shared" si="4"/>
        <v>180</v>
      </c>
      <c r="AJ26" s="84">
        <f t="shared" si="4"/>
        <v>165</v>
      </c>
      <c r="AK26" s="84">
        <f t="shared" si="4"/>
        <v>150</v>
      </c>
    </row>
    <row r="27" spans="4:37">
      <c r="K27" s="84">
        <v>360</v>
      </c>
      <c r="L27" s="16" t="str">
        <f t="shared" si="0"/>
        <v>　　→</v>
      </c>
      <c r="M27" s="84">
        <f t="shared" si="5"/>
        <v>180</v>
      </c>
      <c r="N27" s="84">
        <f t="shared" si="5"/>
        <v>165</v>
      </c>
      <c r="O27" s="84">
        <f t="shared" si="5"/>
        <v>150</v>
      </c>
      <c r="P27" s="84">
        <f t="shared" si="5"/>
        <v>135</v>
      </c>
      <c r="Q27" s="84">
        <f t="shared" si="5"/>
        <v>120</v>
      </c>
      <c r="R27" s="84">
        <f t="shared" si="5"/>
        <v>105</v>
      </c>
      <c r="S27" s="84">
        <f t="shared" si="5"/>
        <v>90</v>
      </c>
      <c r="T27" s="84">
        <f t="shared" si="5"/>
        <v>75</v>
      </c>
      <c r="U27" s="84">
        <f t="shared" si="5"/>
        <v>60</v>
      </c>
      <c r="V27" s="84">
        <f t="shared" si="5"/>
        <v>45</v>
      </c>
      <c r="W27" s="84">
        <f t="shared" si="5"/>
        <v>30</v>
      </c>
      <c r="X27" s="84">
        <f t="shared" si="5"/>
        <v>15</v>
      </c>
      <c r="Y27" s="84">
        <f t="shared" si="5"/>
        <v>0</v>
      </c>
      <c r="Z27" s="84">
        <f t="shared" si="5"/>
        <v>345</v>
      </c>
      <c r="AA27" s="84">
        <f t="shared" si="5"/>
        <v>330</v>
      </c>
      <c r="AB27" s="84">
        <f t="shared" si="5"/>
        <v>315</v>
      </c>
      <c r="AC27" s="84">
        <f t="shared" si="4"/>
        <v>300</v>
      </c>
      <c r="AD27" s="84">
        <f t="shared" si="4"/>
        <v>285</v>
      </c>
      <c r="AE27" s="84">
        <f t="shared" si="4"/>
        <v>270</v>
      </c>
      <c r="AF27" s="84">
        <f t="shared" si="4"/>
        <v>255</v>
      </c>
      <c r="AG27" s="84">
        <f t="shared" si="4"/>
        <v>240</v>
      </c>
      <c r="AH27" s="84">
        <f t="shared" si="4"/>
        <v>225</v>
      </c>
      <c r="AI27" s="84">
        <f t="shared" si="4"/>
        <v>210</v>
      </c>
      <c r="AJ27" s="84">
        <f t="shared" si="4"/>
        <v>195</v>
      </c>
      <c r="AK27" s="84">
        <f t="shared" si="4"/>
        <v>180</v>
      </c>
    </row>
  </sheetData>
  <mergeCells count="1">
    <mergeCell ref="H1:I1"/>
  </mergeCells>
  <phoneticPr fontId="2"/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6"/>
  <sheetViews>
    <sheetView workbookViewId="0"/>
  </sheetViews>
  <sheetFormatPr defaultRowHeight="18"/>
  <cols>
    <col min="1" max="1" width="5.19921875" bestFit="1" customWidth="1"/>
    <col min="2" max="2" width="3.3984375" bestFit="1" customWidth="1"/>
    <col min="3" max="3" width="19.19921875" bestFit="1" customWidth="1"/>
    <col min="4" max="4" width="75.5" bestFit="1" customWidth="1"/>
    <col min="6" max="6" width="15.09765625" bestFit="1" customWidth="1"/>
  </cols>
  <sheetData>
    <row r="1" spans="1:10" s="12" customFormat="1">
      <c r="A1" s="54" t="s">
        <v>0</v>
      </c>
      <c r="C1" s="12" t="s">
        <v>245</v>
      </c>
      <c r="F1" s="11"/>
    </row>
    <row r="3" spans="1:10">
      <c r="C3" s="101" t="s">
        <v>139</v>
      </c>
      <c r="D3" s="101" t="s">
        <v>246</v>
      </c>
      <c r="E3" s="101" t="s">
        <v>247</v>
      </c>
      <c r="F3" s="101" t="s">
        <v>248</v>
      </c>
      <c r="G3" s="101" t="s">
        <v>249</v>
      </c>
      <c r="H3" s="101" t="s">
        <v>250</v>
      </c>
      <c r="I3" s="101" t="s">
        <v>251</v>
      </c>
      <c r="J3" s="101" t="s">
        <v>252</v>
      </c>
    </row>
    <row r="4" spans="1:10">
      <c r="B4" t="s">
        <v>2</v>
      </c>
      <c r="C4" s="1" t="s">
        <v>253</v>
      </c>
      <c r="D4" s="1" t="s">
        <v>254</v>
      </c>
      <c r="E4" s="1"/>
      <c r="F4" s="1"/>
      <c r="G4" s="1"/>
      <c r="H4" s="1"/>
      <c r="I4" s="1"/>
      <c r="J4" s="1"/>
    </row>
    <row r="5" spans="1:10">
      <c r="B5" t="s">
        <v>2</v>
      </c>
      <c r="C5" s="1" t="s">
        <v>255</v>
      </c>
      <c r="D5" s="1" t="s">
        <v>256</v>
      </c>
      <c r="E5" s="1"/>
      <c r="F5" s="1"/>
      <c r="G5" s="1"/>
      <c r="H5" s="1"/>
      <c r="I5" s="1"/>
      <c r="J5" s="1"/>
    </row>
    <row r="6" spans="1:10">
      <c r="B6" t="s">
        <v>2</v>
      </c>
      <c r="C6" s="1" t="s">
        <v>257</v>
      </c>
      <c r="D6" s="1" t="s">
        <v>258</v>
      </c>
      <c r="E6" s="1"/>
      <c r="F6" s="1"/>
      <c r="G6" s="1"/>
      <c r="H6" s="1"/>
      <c r="I6" s="1"/>
      <c r="J6" s="1"/>
    </row>
    <row r="7" spans="1:10">
      <c r="B7" t="s">
        <v>2</v>
      </c>
      <c r="C7" s="1" t="s">
        <v>257</v>
      </c>
      <c r="D7" s="1" t="s">
        <v>259</v>
      </c>
      <c r="E7" s="1"/>
      <c r="F7" s="1"/>
      <c r="G7" s="1"/>
      <c r="H7" s="1"/>
      <c r="I7" s="1"/>
      <c r="J7" s="1"/>
    </row>
    <row r="8" spans="1:10">
      <c r="C8" s="1"/>
      <c r="D8" s="1"/>
      <c r="E8" s="1"/>
      <c r="F8" s="1"/>
      <c r="G8" s="1"/>
      <c r="H8" s="1"/>
      <c r="I8" s="1"/>
      <c r="J8" s="1"/>
    </row>
    <row r="9" spans="1:10">
      <c r="C9" s="1"/>
      <c r="D9" s="1"/>
      <c r="E9" s="1"/>
      <c r="F9" s="1"/>
      <c r="G9" s="1"/>
      <c r="H9" s="1"/>
      <c r="I9" s="1"/>
      <c r="J9" s="1"/>
    </row>
    <row r="10" spans="1:10">
      <c r="C10" s="1"/>
      <c r="D10" s="1"/>
      <c r="E10" s="1"/>
      <c r="F10" s="1"/>
      <c r="G10" s="1"/>
      <c r="H10" s="1"/>
      <c r="I10" s="1"/>
      <c r="J10" s="1"/>
    </row>
    <row r="11" spans="1:10">
      <c r="C11" s="1"/>
      <c r="D11" s="1"/>
      <c r="E11" s="1"/>
      <c r="F11" s="1"/>
      <c r="G11" s="1"/>
      <c r="H11" s="1"/>
      <c r="I11" s="1"/>
      <c r="J11" s="1"/>
    </row>
    <row r="12" spans="1:10">
      <c r="C12" s="1"/>
      <c r="D12" s="1"/>
      <c r="E12" s="1"/>
      <c r="F12" s="1"/>
      <c r="G12" s="1"/>
      <c r="H12" s="1"/>
      <c r="I12" s="1"/>
      <c r="J12" s="1"/>
    </row>
    <row r="13" spans="1:10">
      <c r="C13" s="1"/>
      <c r="D13" s="1"/>
      <c r="E13" s="1"/>
      <c r="F13" s="1"/>
      <c r="G13" s="1"/>
      <c r="H13" s="1"/>
      <c r="I13" s="1"/>
      <c r="J13" s="1"/>
    </row>
    <row r="14" spans="1:10">
      <c r="C14" s="1"/>
      <c r="D14" s="1"/>
      <c r="E14" s="1"/>
      <c r="F14" s="1"/>
      <c r="G14" s="1"/>
      <c r="H14" s="1"/>
      <c r="I14" s="1"/>
      <c r="J14" s="1"/>
    </row>
    <row r="15" spans="1:10">
      <c r="C15" s="1"/>
      <c r="D15" s="1"/>
      <c r="E15" s="1"/>
      <c r="F15" s="1"/>
      <c r="G15" s="1"/>
      <c r="H15" s="1"/>
      <c r="I15" s="1"/>
      <c r="J15" s="1"/>
    </row>
    <row r="16" spans="1:10">
      <c r="C16" s="1"/>
      <c r="D16" s="1"/>
      <c r="E16" s="1"/>
      <c r="F16" s="1"/>
      <c r="G16" s="1"/>
      <c r="H16" s="1"/>
      <c r="I16" s="1"/>
      <c r="J16" s="1"/>
    </row>
    <row r="17" spans="3:10">
      <c r="C17" s="1"/>
      <c r="D17" s="1"/>
      <c r="E17" s="1"/>
      <c r="F17" s="1"/>
      <c r="G17" s="1"/>
      <c r="H17" s="1"/>
      <c r="I17" s="1"/>
      <c r="J17" s="1"/>
    </row>
    <row r="18" spans="3:10">
      <c r="C18" s="1"/>
      <c r="D18" s="1"/>
      <c r="E18" s="1"/>
      <c r="F18" s="1"/>
      <c r="G18" s="1"/>
      <c r="H18" s="1"/>
      <c r="I18" s="1"/>
      <c r="J18" s="1"/>
    </row>
    <row r="19" spans="3:10">
      <c r="C19" s="1"/>
      <c r="D19" s="1"/>
      <c r="E19" s="1"/>
      <c r="F19" s="1"/>
      <c r="G19" s="1"/>
      <c r="H19" s="1"/>
      <c r="I19" s="1"/>
      <c r="J19" s="1"/>
    </row>
    <row r="20" spans="3:10">
      <c r="C20" s="1"/>
      <c r="D20" s="1"/>
      <c r="E20" s="1"/>
      <c r="F20" s="1"/>
      <c r="G20" s="1"/>
      <c r="H20" s="1"/>
      <c r="I20" s="1"/>
      <c r="J20" s="1"/>
    </row>
    <row r="21" spans="3:10">
      <c r="C21" s="1"/>
      <c r="D21" s="1"/>
      <c r="E21" s="1"/>
      <c r="F21" s="1"/>
      <c r="G21" s="1"/>
      <c r="H21" s="1"/>
      <c r="I21" s="1"/>
      <c r="J21" s="1"/>
    </row>
    <row r="22" spans="3:10">
      <c r="C22" s="1"/>
      <c r="D22" s="1"/>
      <c r="E22" s="1"/>
      <c r="F22" s="1"/>
      <c r="G22" s="1"/>
      <c r="H22" s="1"/>
      <c r="I22" s="1"/>
      <c r="J22" s="1"/>
    </row>
    <row r="23" spans="3:10">
      <c r="C23" s="1"/>
      <c r="D23" s="1"/>
      <c r="E23" s="1"/>
      <c r="F23" s="1"/>
      <c r="G23" s="1"/>
      <c r="H23" s="1"/>
      <c r="I23" s="1"/>
      <c r="J23" s="1"/>
    </row>
    <row r="24" spans="3:10">
      <c r="C24" s="1"/>
      <c r="D24" s="1"/>
      <c r="E24" s="1"/>
      <c r="F24" s="1"/>
      <c r="G24" s="1"/>
      <c r="H24" s="1"/>
      <c r="I24" s="1"/>
      <c r="J24" s="1"/>
    </row>
    <row r="25" spans="3:10">
      <c r="C25" s="1"/>
      <c r="D25" s="1"/>
      <c r="E25" s="1"/>
      <c r="F25" s="1"/>
      <c r="G25" s="1"/>
      <c r="H25" s="1"/>
      <c r="I25" s="1"/>
      <c r="J25" s="1"/>
    </row>
    <row r="26" spans="3:10">
      <c r="C26" s="1"/>
      <c r="D26" s="1"/>
      <c r="E26" s="1"/>
      <c r="F26" s="1"/>
      <c r="G26" s="1"/>
      <c r="H26" s="1"/>
      <c r="I26" s="1"/>
      <c r="J26" s="1"/>
    </row>
  </sheetData>
  <phoneticPr fontId="2"/>
  <hyperlinks>
    <hyperlink ref="A1" location="目次!A1" display="◀" xr:uid="{00000000-0004-0000-1800-000000000000}"/>
  </hyperlink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/>
  </sheetViews>
  <sheetFormatPr defaultRowHeight="18"/>
  <sheetData/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6b1bf6f-1630-4367-8f11-ffbfca9c9c93">
      <Terms xmlns="http://schemas.microsoft.com/office/infopath/2007/PartnerControls"/>
    </lcf76f155ced4ddcb4097134ff3c332f>
    <TaxCatchAll xmlns="9aaec773-b21a-4fa3-aba6-f4916420077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AE9F288C3FBDD4CB64157C075726314" ma:contentTypeVersion="10" ma:contentTypeDescription="新しいドキュメントを作成します。" ma:contentTypeScope="" ma:versionID="ab492585403f66e5752e50ebcb835c41">
  <xsd:schema xmlns:xsd="http://www.w3.org/2001/XMLSchema" xmlns:xs="http://www.w3.org/2001/XMLSchema" xmlns:p="http://schemas.microsoft.com/office/2006/metadata/properties" xmlns:ns2="06b1bf6f-1630-4367-8f11-ffbfca9c9c93" xmlns:ns3="9aaec773-b21a-4fa3-aba6-f4916420077b" targetNamespace="http://schemas.microsoft.com/office/2006/metadata/properties" ma:root="true" ma:fieldsID="033b8ad7aa14501d17431dd1347bc8e7" ns2:_="" ns3:_="">
    <xsd:import namespace="06b1bf6f-1630-4367-8f11-ffbfca9c9c93"/>
    <xsd:import namespace="9aaec773-b21a-4fa3-aba6-f491642007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b1bf6f-1630-4367-8f11-ffbfca9c9c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5686cd48-cefc-4cf4-8834-9dce622a4c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aec773-b21a-4fa3-aba6-f491642007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2ec35b8-0b21-4a3e-8db6-81b46bf31748}" ma:internalName="TaxCatchAll" ma:showField="CatchAllData" ma:web="9aaec773-b21a-4fa3-aba6-f491642007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C8FB28-7A36-443C-9A92-7A6425695D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43B0D7-4854-48DB-AEFF-8291D3D65BC6}">
  <ds:schemaRefs>
    <ds:schemaRef ds:uri="http://schemas.microsoft.com/office/2006/metadata/properties"/>
    <ds:schemaRef ds:uri="http://schemas.microsoft.com/office/infopath/2007/PartnerControls"/>
    <ds:schemaRef ds:uri="06b1bf6f-1630-4367-8f11-ffbfca9c9c93"/>
    <ds:schemaRef ds:uri="9aaec773-b21a-4fa3-aba6-f4916420077b"/>
  </ds:schemaRefs>
</ds:datastoreItem>
</file>

<file path=customXml/itemProps3.xml><?xml version="1.0" encoding="utf-8"?>
<ds:datastoreItem xmlns:ds="http://schemas.openxmlformats.org/officeDocument/2006/customXml" ds:itemID="{EADBBFFF-E754-4749-B50E-08BD730FC5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b1bf6f-1630-4367-8f11-ffbfca9c9c93"/>
    <ds:schemaRef ds:uri="9aaec773-b21a-4fa3-aba6-f491642007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25</vt:i4>
      </vt:variant>
    </vt:vector>
  </HeadingPairs>
  <TitlesOfParts>
    <vt:vector size="25" baseType="lpstr">
      <vt:lpstr>画面一覧</vt:lpstr>
      <vt:lpstr>目次</vt:lpstr>
      <vt:lpstr>基本情報</vt:lpstr>
      <vt:lpstr>設定仕様</vt:lpstr>
      <vt:lpstr>基本ルール</vt:lpstr>
      <vt:lpstr>全体フロー</vt:lpstr>
      <vt:lpstr>ラベル一覧</vt:lpstr>
      <vt:lpstr>タイトルフロー</vt:lpstr>
      <vt:lpstr>ゲームメインフロー</vt:lpstr>
      <vt:lpstr>一覧表項目説明</vt:lpstr>
      <vt:lpstr>タイトル画面</vt:lpstr>
      <vt:lpstr>登録画面</vt:lpstr>
      <vt:lpstr>編成画面</vt:lpstr>
      <vt:lpstr>メイン画面</vt:lpstr>
      <vt:lpstr>グラフィック一覧</vt:lpstr>
      <vt:lpstr>サウンド一覧</vt:lpstr>
      <vt:lpstr>パラメータ・用語一覧</vt:lpstr>
      <vt:lpstr>変数表</vt:lpstr>
      <vt:lpstr>データ表</vt:lpstr>
      <vt:lpstr>スプライト設定一覧</vt:lpstr>
      <vt:lpstr>スプライト定義</vt:lpstr>
      <vt:lpstr>シナリオ一覧</vt:lpstr>
      <vt:lpstr>反射計算</vt:lpstr>
      <vt:lpstr>エラー履歴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2026-04-23T06:48:18Z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0x010100FAE9F288C3FBDD4CB64157C075726314</vt:lpwstr>
  </property>
  <property fmtid="{D5CDD505-2E9C-101B-9397-08002B2CF9AE}" pid="3" name="MediaServiceImageTags">
    <vt:lpwstr/>
  </property>
</Properties>
</file>