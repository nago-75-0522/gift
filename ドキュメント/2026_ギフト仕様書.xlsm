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filterPrivacy="1"/>
  <xr:revisionPtr revIDLastSave="0" documentId="13_ncr:1_{608A24E5-0C75-49B5-9F3C-0CE8AF52C140}" xr6:coauthVersionLast="47" xr6:coauthVersionMax="47" xr10:uidLastSave="{00000000-0000-0000-0000-000000000000}"/>
  <bookViews>
    <workbookView xWindow="-98" yWindow="-98" windowWidth="19396" windowHeight="11475" firstSheet="18" activeTab="18" xr2:uid="{00000000-000D-0000-FFFF-FFFF00000000}"/>
  </bookViews>
  <sheets>
    <sheet name="目次" sheetId="1" r:id="rId1"/>
    <sheet name="基本情報" sheetId="14" r:id="rId2"/>
    <sheet name="設定仕様" sheetId="2" r:id="rId3"/>
    <sheet name="基本ルール" sheetId="3" r:id="rId4"/>
    <sheet name="全体フロー" sheetId="11" r:id="rId5"/>
    <sheet name="ラベル一覧" sheetId="22" r:id="rId6"/>
    <sheet name="タイトルフロー" sheetId="20" r:id="rId7"/>
    <sheet name="画面一覧" sheetId="5" r:id="rId8"/>
    <sheet name="ゲームメインフロー" sheetId="4" r:id="rId9"/>
    <sheet name="一覧表項目説明" sheetId="13" r:id="rId10"/>
    <sheet name="タイトル画面" sheetId="19" r:id="rId11"/>
    <sheet name="メイン画面" sheetId="12" r:id="rId12"/>
    <sheet name="グラフィック一覧" sheetId="6" r:id="rId13"/>
    <sheet name="サウンド一覧" sheetId="7" r:id="rId14"/>
    <sheet name="スプライト設定一覧" sheetId="9" r:id="rId15"/>
    <sheet name="パラメータ・用語一覧" sheetId="8" r:id="rId16"/>
    <sheet name="変数表" sheetId="15" r:id="rId17"/>
    <sheet name="データ表" sheetId="23" r:id="rId18"/>
    <sheet name="スプライト定義" sheetId="21" r:id="rId19"/>
    <sheet name="シナリオ一覧" sheetId="10" r:id="rId20"/>
    <sheet name="エラー履歴" sheetId="24" r:id="rId21"/>
  </sheets>
  <definedNames>
    <definedName name="_xlnm._FilterDatabase" localSheetId="12" hidden="1">グラフィック一覧!$B$3:$Q$4</definedName>
    <definedName name="_xlnm._FilterDatabase" localSheetId="13" hidden="1">サウンド一覧!$B$3:$Q$3</definedName>
    <definedName name="_xlnm._FilterDatabase" localSheetId="16" hidden="1">変数表!$C$3:$H$3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3" i="1"/>
  <c r="B12" i="1"/>
  <c r="B11" i="1"/>
  <c r="B4" i="1"/>
  <c r="B9" i="1"/>
  <c r="B8" i="1"/>
  <c r="E25" i="9"/>
  <c r="D25" i="9"/>
  <c r="B25" i="9"/>
  <c r="E24" i="9"/>
  <c r="D24" i="9"/>
  <c r="B24" i="9"/>
  <c r="E23" i="9"/>
  <c r="D23" i="9"/>
  <c r="B23" i="9"/>
  <c r="E22" i="9"/>
  <c r="D22" i="9"/>
  <c r="B22" i="9"/>
  <c r="E21" i="9"/>
  <c r="D21" i="9"/>
  <c r="B21" i="9"/>
  <c r="E20" i="9"/>
  <c r="D20" i="9"/>
  <c r="B20" i="9"/>
  <c r="E19" i="9"/>
  <c r="D19" i="9"/>
  <c r="B19" i="9"/>
  <c r="E18" i="9"/>
  <c r="D18" i="9"/>
  <c r="B18" i="9"/>
  <c r="B14" i="9"/>
  <c r="D14" i="9"/>
  <c r="E14" i="9"/>
  <c r="B15" i="9"/>
  <c r="D15" i="9"/>
  <c r="E15" i="9"/>
  <c r="B16" i="9"/>
  <c r="D16" i="9"/>
  <c r="E16" i="9"/>
  <c r="B17" i="9"/>
  <c r="D17" i="9"/>
  <c r="E17" i="9"/>
  <c r="B26" i="9"/>
  <c r="D26" i="9"/>
  <c r="B27" i="9"/>
  <c r="D27" i="9"/>
  <c r="B28" i="9"/>
  <c r="D28" i="9"/>
  <c r="B29" i="9"/>
  <c r="D29" i="9"/>
  <c r="E29" i="9"/>
  <c r="B30" i="9"/>
  <c r="D30" i="9"/>
  <c r="E30" i="9"/>
  <c r="B31" i="9"/>
  <c r="D31" i="9"/>
  <c r="E31" i="9"/>
  <c r="B32" i="9"/>
  <c r="D32" i="9"/>
  <c r="E32" i="9"/>
  <c r="B33" i="9"/>
  <c r="D33" i="9"/>
  <c r="E33" i="9"/>
  <c r="B34" i="9"/>
  <c r="D34" i="9"/>
  <c r="E34" i="9"/>
  <c r="B35" i="9"/>
  <c r="D35" i="9"/>
  <c r="E35" i="9"/>
  <c r="B36" i="9"/>
  <c r="D36" i="9"/>
  <c r="E36" i="9"/>
  <c r="B12" i="9"/>
  <c r="D12" i="9"/>
  <c r="E12" i="9"/>
  <c r="B13" i="9"/>
  <c r="D13" i="9"/>
  <c r="E13" i="9"/>
  <c r="D11" i="9"/>
  <c r="D10" i="9"/>
  <c r="D9" i="9"/>
  <c r="D8" i="9"/>
  <c r="D7" i="9"/>
  <c r="E11" i="9"/>
  <c r="E10" i="9"/>
  <c r="E9" i="9"/>
  <c r="E8" i="9"/>
  <c r="E7" i="9"/>
  <c r="B11" i="9"/>
  <c r="B10" i="9"/>
  <c r="B9" i="9"/>
  <c r="B8" i="9"/>
  <c r="B7" i="9"/>
  <c r="B6" i="9"/>
  <c r="D6" i="9"/>
  <c r="E6" i="9"/>
  <c r="B21" i="1"/>
  <c r="B20" i="1"/>
  <c r="B18" i="1"/>
  <c r="B17" i="1"/>
  <c r="B16" i="1"/>
  <c r="B15" i="1"/>
  <c r="B10" i="1"/>
  <c r="B7" i="1"/>
  <c r="B6" i="1"/>
  <c r="B5" i="1"/>
</calcChain>
</file>

<file path=xl/sharedStrings.xml><?xml version="1.0" encoding="utf-8"?>
<sst xmlns="http://schemas.openxmlformats.org/spreadsheetml/2006/main" count="248" uniqueCount="169">
  <si>
    <t>▼項目</t>
    <rPh sb="1" eb="3">
      <t>コウモク</t>
    </rPh>
    <phoneticPr fontId="4"/>
  </si>
  <si>
    <t>基本情報</t>
    <rPh sb="0" eb="2">
      <t>キホン</t>
    </rPh>
    <rPh sb="2" eb="4">
      <t>ジョウホウ</t>
    </rPh>
    <phoneticPr fontId="4"/>
  </si>
  <si>
    <t>ゲーム概要（タイトル・ジャンル・ターゲットなど）</t>
    <rPh sb="3" eb="5">
      <t>ガイヨウ</t>
    </rPh>
    <phoneticPr fontId="4"/>
  </si>
  <si>
    <t>設定仕様</t>
    <rPh sb="0" eb="2">
      <t>セッテイ</t>
    </rPh>
    <rPh sb="2" eb="4">
      <t>シヨウ</t>
    </rPh>
    <phoneticPr fontId="4"/>
  </si>
  <si>
    <t>プラットフォーム仕様、ビジネスモデル設定などを記述したもの。</t>
    <rPh sb="8" eb="10">
      <t>シヨウ</t>
    </rPh>
    <rPh sb="18" eb="20">
      <t>セッテイ</t>
    </rPh>
    <rPh sb="23" eb="25">
      <t>キジュツ</t>
    </rPh>
    <phoneticPr fontId="4"/>
  </si>
  <si>
    <t>基本ルール</t>
    <rPh sb="0" eb="2">
      <t>キホン</t>
    </rPh>
    <phoneticPr fontId="4"/>
  </si>
  <si>
    <t>勝利条件、敗北条件、メインシステムなどを記述したもの。</t>
    <rPh sb="0" eb="2">
      <t>ショウリ</t>
    </rPh>
    <rPh sb="2" eb="4">
      <t>ジョウケン</t>
    </rPh>
    <rPh sb="5" eb="7">
      <t>ハイボク</t>
    </rPh>
    <rPh sb="7" eb="9">
      <t>ジョウケン</t>
    </rPh>
    <rPh sb="20" eb="22">
      <t>キジュツ</t>
    </rPh>
    <phoneticPr fontId="4"/>
  </si>
  <si>
    <t>全体フロー</t>
    <rPh sb="0" eb="2">
      <t>ゼンタイ</t>
    </rPh>
    <phoneticPr fontId="4"/>
  </si>
  <si>
    <t>画面遷移図を記述したもの。</t>
    <rPh sb="0" eb="2">
      <t>ガメン</t>
    </rPh>
    <rPh sb="2" eb="5">
      <t>センイズ</t>
    </rPh>
    <rPh sb="6" eb="8">
      <t>キジュツ</t>
    </rPh>
    <phoneticPr fontId="4"/>
  </si>
  <si>
    <t>画面一覧</t>
    <rPh sb="0" eb="2">
      <t>ガメン</t>
    </rPh>
    <rPh sb="2" eb="4">
      <t>イチラン</t>
    </rPh>
    <phoneticPr fontId="4"/>
  </si>
  <si>
    <t>全体フローに登場した全ての画面を一覧に記述したもの。</t>
    <rPh sb="0" eb="2">
      <t>ゼンタイ</t>
    </rPh>
    <rPh sb="6" eb="8">
      <t>トウジョウ</t>
    </rPh>
    <rPh sb="10" eb="11">
      <t>スベ</t>
    </rPh>
    <rPh sb="13" eb="15">
      <t>ガメン</t>
    </rPh>
    <rPh sb="16" eb="18">
      <t>イチラン</t>
    </rPh>
    <rPh sb="19" eb="21">
      <t>キジュツ</t>
    </rPh>
    <phoneticPr fontId="4"/>
  </si>
  <si>
    <t>ゲームメインフロー</t>
    <phoneticPr fontId="4"/>
  </si>
  <si>
    <t>一覧表項目説明</t>
    <rPh sb="0" eb="3">
      <t>イチランヒョウ</t>
    </rPh>
    <rPh sb="3" eb="5">
      <t>コウモク</t>
    </rPh>
    <rPh sb="5" eb="7">
      <t>セツメイ</t>
    </rPh>
    <phoneticPr fontId="4"/>
  </si>
  <si>
    <t>表の項目ごとに説明をまとめたもの。</t>
    <rPh sb="0" eb="1">
      <t>ヒョウ</t>
    </rPh>
    <rPh sb="2" eb="4">
      <t>コウモク</t>
    </rPh>
    <rPh sb="7" eb="9">
      <t>セツメイ</t>
    </rPh>
    <phoneticPr fontId="4"/>
  </si>
  <si>
    <t>タイトル画面</t>
    <rPh sb="4" eb="6">
      <t>ガメン</t>
    </rPh>
    <phoneticPr fontId="4"/>
  </si>
  <si>
    <t>タイトル画面デザイン、使用キーを記述したもの。</t>
    <rPh sb="4" eb="6">
      <t>ガメン</t>
    </rPh>
    <rPh sb="11" eb="13">
      <t>シヨウ</t>
    </rPh>
    <rPh sb="16" eb="18">
      <t>キジュツ</t>
    </rPh>
    <phoneticPr fontId="4"/>
  </si>
  <si>
    <t>マップ選択画面</t>
    <rPh sb="3" eb="5">
      <t>センタク</t>
    </rPh>
    <rPh sb="5" eb="7">
      <t>ガメン</t>
    </rPh>
    <phoneticPr fontId="4"/>
  </si>
  <si>
    <t>マップ選択の画面デザイン、使用キーを記述したもの。</t>
    <rPh sb="3" eb="5">
      <t>センタク</t>
    </rPh>
    <rPh sb="6" eb="8">
      <t>ガメン</t>
    </rPh>
    <rPh sb="13" eb="15">
      <t>シヨウ</t>
    </rPh>
    <rPh sb="18" eb="20">
      <t>キジュツ</t>
    </rPh>
    <phoneticPr fontId="4"/>
  </si>
  <si>
    <t>マップ選択画面(２)</t>
    <rPh sb="3" eb="5">
      <t>センタク</t>
    </rPh>
    <rPh sb="5" eb="7">
      <t>ガメン</t>
    </rPh>
    <phoneticPr fontId="4"/>
  </si>
  <si>
    <t>マップ選択画面(３)</t>
    <rPh sb="3" eb="5">
      <t>センタク</t>
    </rPh>
    <rPh sb="5" eb="7">
      <t>ガメン</t>
    </rPh>
    <phoneticPr fontId="4"/>
  </si>
  <si>
    <t>グラフィック一覧</t>
    <rPh sb="6" eb="8">
      <t>イチラン</t>
    </rPh>
    <phoneticPr fontId="4"/>
  </si>
  <si>
    <t>必要な絵素材の一覧を記述したもの。</t>
    <rPh sb="0" eb="2">
      <t>ヒツヨウ</t>
    </rPh>
    <rPh sb="3" eb="4">
      <t>エ</t>
    </rPh>
    <rPh sb="4" eb="6">
      <t>ソザイ</t>
    </rPh>
    <rPh sb="7" eb="9">
      <t>イチラン</t>
    </rPh>
    <rPh sb="10" eb="12">
      <t>キジュツ</t>
    </rPh>
    <phoneticPr fontId="4"/>
  </si>
  <si>
    <t>サウンド一覧</t>
    <rPh sb="4" eb="6">
      <t>イチラン</t>
    </rPh>
    <phoneticPr fontId="4"/>
  </si>
  <si>
    <t>必要な音素材の一覧を記述したもの。</t>
    <rPh sb="0" eb="2">
      <t>ヒツヨウ</t>
    </rPh>
    <rPh sb="3" eb="4">
      <t>オト</t>
    </rPh>
    <rPh sb="4" eb="6">
      <t>ソザイ</t>
    </rPh>
    <rPh sb="7" eb="9">
      <t>イチラン</t>
    </rPh>
    <rPh sb="10" eb="12">
      <t>キジュツ</t>
    </rPh>
    <phoneticPr fontId="4"/>
  </si>
  <si>
    <t>パラメータ一覧</t>
  </si>
  <si>
    <t>ゲーム内パラメータを一覧に記述したもの。</t>
    <rPh sb="3" eb="4">
      <t>ナイ</t>
    </rPh>
    <rPh sb="10" eb="12">
      <t>イチラン</t>
    </rPh>
    <rPh sb="13" eb="15">
      <t>キジュツ</t>
    </rPh>
    <phoneticPr fontId="4"/>
  </si>
  <si>
    <t>データ一覧</t>
    <rPh sb="3" eb="5">
      <t>イチラン</t>
    </rPh>
    <phoneticPr fontId="4"/>
  </si>
  <si>
    <t>実データを一覧に記述したもの。</t>
    <rPh sb="0" eb="1">
      <t>ジツ</t>
    </rPh>
    <rPh sb="5" eb="7">
      <t>イチラン</t>
    </rPh>
    <rPh sb="8" eb="10">
      <t>キジュツ</t>
    </rPh>
    <phoneticPr fontId="4"/>
  </si>
  <si>
    <t>シナリオ一覧</t>
    <rPh sb="4" eb="6">
      <t>イチラン</t>
    </rPh>
    <phoneticPr fontId="4"/>
  </si>
  <si>
    <t>・</t>
    <phoneticPr fontId="4"/>
  </si>
  <si>
    <t>デバッグリスト</t>
    <phoneticPr fontId="4"/>
  </si>
  <si>
    <t>エラー発生履歴</t>
    <rPh sb="3" eb="5">
      <t>ハッセイ</t>
    </rPh>
    <rPh sb="5" eb="7">
      <t>リレキ</t>
    </rPh>
    <phoneticPr fontId="4"/>
  </si>
  <si>
    <t>目次</t>
    <rPh sb="0" eb="2">
      <t>モクジ</t>
    </rPh>
    <phoneticPr fontId="4"/>
  </si>
  <si>
    <t>タイトル</t>
    <phoneticPr fontId="4"/>
  </si>
  <si>
    <t>ジャンル</t>
    <phoneticPr fontId="4"/>
  </si>
  <si>
    <t>ターゲットユーザー</t>
    <phoneticPr fontId="4"/>
  </si>
  <si>
    <t>設定仕様</t>
    <rPh sb="0" eb="4">
      <t>セッテイシヨウ</t>
    </rPh>
    <phoneticPr fontId="4"/>
  </si>
  <si>
    <t>▼プラットフォーム</t>
    <phoneticPr fontId="4"/>
  </si>
  <si>
    <t>Windows</t>
  </si>
  <si>
    <t>▼画面解像度</t>
    <rPh sb="1" eb="3">
      <t>ガメン</t>
    </rPh>
    <rPh sb="3" eb="6">
      <t>カイゾウド</t>
    </rPh>
    <phoneticPr fontId="4"/>
  </si>
  <si>
    <t>FHD</t>
  </si>
  <si>
    <t>1920×1080</t>
  </si>
  <si>
    <t>▼入力装置</t>
    <rPh sb="1" eb="3">
      <t>ニュウリョク</t>
    </rPh>
    <rPh sb="3" eb="5">
      <t>ソウチ</t>
    </rPh>
    <phoneticPr fontId="4"/>
  </si>
  <si>
    <t>キーボード</t>
  </si>
  <si>
    <t>Enter</t>
  </si>
  <si>
    <t>Space</t>
  </si>
  <si>
    <t>左(←)</t>
  </si>
  <si>
    <t>右(→)</t>
  </si>
  <si>
    <t>▼通信機器</t>
    <rPh sb="1" eb="3">
      <t>ツウシン</t>
    </rPh>
    <rPh sb="3" eb="5">
      <t>キキ</t>
    </rPh>
    <phoneticPr fontId="4"/>
  </si>
  <si>
    <t>使用しない</t>
    <rPh sb="0" eb="2">
      <t>シヨウ</t>
    </rPh>
    <phoneticPr fontId="4"/>
  </si>
  <si>
    <t>▼成功条件</t>
  </si>
  <si>
    <t>▼ゲームの流れ</t>
    <rPh sb="5" eb="6">
      <t>ナガ</t>
    </rPh>
    <phoneticPr fontId="4"/>
  </si>
  <si>
    <t>タイトルフロー</t>
    <phoneticPr fontId="4"/>
  </si>
  <si>
    <t>初期設定</t>
    <rPh sb="0" eb="2">
      <t>ショキ</t>
    </rPh>
    <rPh sb="2" eb="4">
      <t>セッテイ</t>
    </rPh>
    <phoneticPr fontId="4"/>
  </si>
  <si>
    <t>↓</t>
    <phoneticPr fontId="4"/>
  </si>
  <si>
    <t>初期設定</t>
  </si>
  <si>
    <t>メイン画面</t>
  </si>
  <si>
    <t>ラベル一覧</t>
    <rPh sb="3" eb="5">
      <t>イチラン</t>
    </rPh>
    <phoneticPr fontId="4"/>
  </si>
  <si>
    <t>ラベル名</t>
    <rPh sb="3" eb="4">
      <t>メイ</t>
    </rPh>
    <phoneticPr fontId="4"/>
  </si>
  <si>
    <t>初期化</t>
    <rPh sb="0" eb="3">
      <t>ショキカ</t>
    </rPh>
    <phoneticPr fontId="4"/>
  </si>
  <si>
    <t>ゲームタイトルを表示する。スタートするためのキーを押すと進む</t>
    <rPh sb="8" eb="10">
      <t>ヒョウジ</t>
    </rPh>
    <rPh sb="25" eb="26">
      <t>オ</t>
    </rPh>
    <rPh sb="28" eb="29">
      <t>スス</t>
    </rPh>
    <phoneticPr fontId="4"/>
  </si>
  <si>
    <t>・ステージ描画</t>
    <rPh sb="5" eb="7">
      <t>ビョウガ</t>
    </rPh>
    <phoneticPr fontId="4"/>
  </si>
  <si>
    <t>操作仕様</t>
    <rPh sb="0" eb="2">
      <t>ソウサ</t>
    </rPh>
    <rPh sb="2" eb="4">
      <t>シヨウ</t>
    </rPh>
    <phoneticPr fontId="4"/>
  </si>
  <si>
    <t>Enter</t>
    <phoneticPr fontId="4"/>
  </si>
  <si>
    <t>押</t>
  </si>
  <si>
    <t>スタート</t>
    <phoneticPr fontId="4"/>
  </si>
  <si>
    <t>タイトルロゴこんな感じ</t>
  </si>
  <si>
    <t>・バスケットボール</t>
  </si>
  <si>
    <t>・オレンジ系の色</t>
  </si>
  <si>
    <t>・中央に文字を寄せる</t>
  </si>
  <si>
    <t>start</t>
    <phoneticPr fontId="4"/>
  </si>
  <si>
    <t>Enterを押してスタート</t>
    <phoneticPr fontId="4"/>
  </si>
  <si>
    <t>↑イメージ</t>
  </si>
  <si>
    <t>ゲームメイン画面</t>
    <rPh sb="6" eb="8">
      <t>ガメン</t>
    </rPh>
    <phoneticPr fontId="4"/>
  </si>
  <si>
    <t>メインフロー</t>
    <phoneticPr fontId="4"/>
  </si>
  <si>
    <t>1/60表示</t>
    <rPh sb="4" eb="6">
      <t>ヒョウジ</t>
    </rPh>
    <phoneticPr fontId="4"/>
  </si>
  <si>
    <t>プレイヤー</t>
    <phoneticPr fontId="4"/>
  </si>
  <si>
    <t>キーボード</t>
    <phoneticPr fontId="4"/>
  </si>
  <si>
    <t>Space</t>
    <phoneticPr fontId="4"/>
  </si>
  <si>
    <t>番号</t>
    <rPh sb="0" eb="2">
      <t>バンゴウ</t>
    </rPh>
    <phoneticPr fontId="4"/>
  </si>
  <si>
    <t>名前</t>
    <rPh sb="0" eb="2">
      <t>ナマエ</t>
    </rPh>
    <phoneticPr fontId="4"/>
  </si>
  <si>
    <t>使用場所</t>
    <rPh sb="0" eb="2">
      <t>シヨウ</t>
    </rPh>
    <rPh sb="2" eb="4">
      <t>バショ</t>
    </rPh>
    <phoneticPr fontId="4"/>
  </si>
  <si>
    <t>用途</t>
    <rPh sb="0" eb="2">
      <t>ヨウト</t>
    </rPh>
    <phoneticPr fontId="4"/>
  </si>
  <si>
    <t>サイズ</t>
    <phoneticPr fontId="4"/>
  </si>
  <si>
    <t>枚数</t>
    <rPh sb="0" eb="2">
      <t>マイスウ</t>
    </rPh>
    <phoneticPr fontId="4"/>
  </si>
  <si>
    <t>参考</t>
    <rPh sb="0" eb="2">
      <t>サンコウ</t>
    </rPh>
    <phoneticPr fontId="4"/>
  </si>
  <si>
    <t>優
先度</t>
    <rPh sb="0" eb="1">
      <t>ユウ</t>
    </rPh>
    <rPh sb="2" eb="3">
      <t>サキ</t>
    </rPh>
    <rPh sb="3" eb="4">
      <t>ド</t>
    </rPh>
    <phoneticPr fontId="4"/>
  </si>
  <si>
    <t>担当</t>
    <rPh sb="0" eb="2">
      <t>タントウ</t>
    </rPh>
    <phoneticPr fontId="4"/>
  </si>
  <si>
    <t>難
易度</t>
    <rPh sb="0" eb="1">
      <t>ナン</t>
    </rPh>
    <rPh sb="2" eb="3">
      <t>イ</t>
    </rPh>
    <rPh sb="3" eb="4">
      <t>ド</t>
    </rPh>
    <phoneticPr fontId="4"/>
  </si>
  <si>
    <t>進捗</t>
    <rPh sb="0" eb="2">
      <t>シンチョク</t>
    </rPh>
    <phoneticPr fontId="4"/>
  </si>
  <si>
    <t>依頼日</t>
    <rPh sb="0" eb="3">
      <t>イライビ</t>
    </rPh>
    <phoneticPr fontId="4"/>
  </si>
  <si>
    <t>完了日</t>
    <rPh sb="0" eb="3">
      <t>カンリョウビ</t>
    </rPh>
    <phoneticPr fontId="4"/>
  </si>
  <si>
    <t>ファイル</t>
    <phoneticPr fontId="4"/>
  </si>
  <si>
    <t>備考</t>
    <rPh sb="0" eb="2">
      <t>ビコウ</t>
    </rPh>
    <phoneticPr fontId="4"/>
  </si>
  <si>
    <t>X</t>
    <phoneticPr fontId="4"/>
  </si>
  <si>
    <t>Y</t>
    <phoneticPr fontId="4"/>
  </si>
  <si>
    <t>リザルト画面</t>
    <rPh sb="4" eb="6">
      <t>ガメン</t>
    </rPh>
    <phoneticPr fontId="4"/>
  </si>
  <si>
    <t>種類</t>
    <rPh sb="0" eb="2">
      <t>シュルイ</t>
    </rPh>
    <phoneticPr fontId="4"/>
  </si>
  <si>
    <t>長さ</t>
    <rPh sb="0" eb="1">
      <t>ナガ</t>
    </rPh>
    <phoneticPr fontId="4"/>
  </si>
  <si>
    <t>イメージ</t>
    <phoneticPr fontId="4"/>
  </si>
  <si>
    <t>優先
度</t>
    <rPh sb="0" eb="1">
      <t>ユウ</t>
    </rPh>
    <rPh sb="1" eb="2">
      <t>サキ</t>
    </rPh>
    <rPh sb="3" eb="4">
      <t>ド</t>
    </rPh>
    <phoneticPr fontId="4"/>
  </si>
  <si>
    <t>難易
度</t>
    <rPh sb="0" eb="1">
      <t>ナン</t>
    </rPh>
    <rPh sb="1" eb="2">
      <t>イ</t>
    </rPh>
    <rPh sb="3" eb="4">
      <t>ド</t>
    </rPh>
    <phoneticPr fontId="4"/>
  </si>
  <si>
    <t>締切日</t>
    <rPh sb="0" eb="3">
      <t>シメキリビ</t>
    </rPh>
    <phoneticPr fontId="4"/>
  </si>
  <si>
    <t>スプライト設定</t>
    <rPh sb="5" eb="7">
      <t>セッテイ</t>
    </rPh>
    <phoneticPr fontId="4"/>
  </si>
  <si>
    <t>（0 ～ 4095）</t>
    <phoneticPr fontId="4"/>
  </si>
  <si>
    <t>開始番号</t>
    <rPh sb="0" eb="2">
      <t>カイシ</t>
    </rPh>
    <rPh sb="2" eb="4">
      <t>バンゴウ</t>
    </rPh>
    <phoneticPr fontId="4"/>
  </si>
  <si>
    <t>～</t>
    <phoneticPr fontId="4"/>
  </si>
  <si>
    <t>終了番号</t>
    <rPh sb="0" eb="2">
      <t>シュウリョウ</t>
    </rPh>
    <rPh sb="2" eb="4">
      <t>バンゴウ</t>
    </rPh>
    <phoneticPr fontId="4"/>
  </si>
  <si>
    <t>個数</t>
    <rPh sb="0" eb="2">
      <t>コスウ</t>
    </rPh>
    <phoneticPr fontId="4"/>
  </si>
  <si>
    <t>定義番号</t>
    <rPh sb="0" eb="2">
      <t>テイギ</t>
    </rPh>
    <rPh sb="2" eb="4">
      <t>バンゴウ</t>
    </rPh>
    <phoneticPr fontId="4"/>
  </si>
  <si>
    <t>パラメータ・用語一覧</t>
    <rPh sb="6" eb="8">
      <t>ヨウゴ</t>
    </rPh>
    <rPh sb="8" eb="10">
      <t>イチラン</t>
    </rPh>
    <phoneticPr fontId="4"/>
  </si>
  <si>
    <t>パラメータ表</t>
    <rPh sb="5" eb="6">
      <t>ヒョウ</t>
    </rPh>
    <phoneticPr fontId="4"/>
  </si>
  <si>
    <t>変数名</t>
    <rPh sb="0" eb="3">
      <t>ヘンスウメイ</t>
    </rPh>
    <phoneticPr fontId="4"/>
  </si>
  <si>
    <t>用語集</t>
    <rPh sb="0" eb="2">
      <t>ヨウゴ</t>
    </rPh>
    <rPh sb="2" eb="3">
      <t>シュウ</t>
    </rPh>
    <phoneticPr fontId="4"/>
  </si>
  <si>
    <t>変数一覧</t>
    <rPh sb="0" eb="2">
      <t>ヘンスウ</t>
    </rPh>
    <rPh sb="2" eb="4">
      <t>イチラン</t>
    </rPh>
    <phoneticPr fontId="4"/>
  </si>
  <si>
    <t>変数名</t>
    <rPh sb="0" eb="3">
      <t>ヘンスウメイ</t>
    </rPh>
    <phoneticPr fontId="7"/>
  </si>
  <si>
    <t>型</t>
    <rPh sb="0" eb="1">
      <t>カタ</t>
    </rPh>
    <phoneticPr fontId="7"/>
  </si>
  <si>
    <t>既定値</t>
    <rPh sb="0" eb="3">
      <t>キテイチ</t>
    </rPh>
    <phoneticPr fontId="7"/>
  </si>
  <si>
    <t>最小</t>
    <rPh sb="0" eb="2">
      <t>サイショウ</t>
    </rPh>
    <phoneticPr fontId="7"/>
  </si>
  <si>
    <t>最大</t>
    <rPh sb="0" eb="2">
      <t>サイダイ</t>
    </rPh>
    <phoneticPr fontId="7"/>
  </si>
  <si>
    <t>用途</t>
    <rPh sb="0" eb="2">
      <t>ヨウト</t>
    </rPh>
    <phoneticPr fontId="7"/>
  </si>
  <si>
    <t>データ表</t>
    <rPh sb="3" eb="4">
      <t>ヒョウ</t>
    </rPh>
    <phoneticPr fontId="4"/>
  </si>
  <si>
    <t>スプライト定義</t>
    <rPh sb="5" eb="7">
      <t>テイギ</t>
    </rPh>
    <phoneticPr fontId="4"/>
  </si>
  <si>
    <t>エラー履歴</t>
    <rPh sb="3" eb="5">
      <t>リレキ</t>
    </rPh>
    <phoneticPr fontId="4"/>
  </si>
  <si>
    <t>説明</t>
    <rPh sb="0" eb="2">
      <t>セツメイ</t>
    </rPh>
    <phoneticPr fontId="4"/>
  </si>
  <si>
    <t>手順</t>
    <rPh sb="0" eb="2">
      <t>テジュン</t>
    </rPh>
    <phoneticPr fontId="4"/>
  </si>
  <si>
    <t>対象バージョン</t>
    <rPh sb="0" eb="2">
      <t>タイショウ</t>
    </rPh>
    <phoneticPr fontId="4"/>
  </si>
  <si>
    <t>再現性</t>
    <rPh sb="0" eb="3">
      <t>サイゲンセイ</t>
    </rPh>
    <phoneticPr fontId="4"/>
  </si>
  <si>
    <t>補足資料</t>
    <rPh sb="0" eb="2">
      <t>ホソク</t>
    </rPh>
    <rPh sb="2" eb="4">
      <t>シリョウ</t>
    </rPh>
    <phoneticPr fontId="4"/>
  </si>
  <si>
    <t>対応</t>
    <rPh sb="0" eb="2">
      <t>タイオウ</t>
    </rPh>
    <phoneticPr fontId="4"/>
  </si>
  <si>
    <t>検証</t>
    <rPh sb="0" eb="2">
      <t>ケンショウ</t>
    </rPh>
    <phoneticPr fontId="4"/>
  </si>
  <si>
    <t>Z</t>
    <phoneticPr fontId="4"/>
  </si>
  <si>
    <t>G</t>
    <phoneticPr fontId="4"/>
  </si>
  <si>
    <t>威力決定</t>
    <rPh sb="0" eb="2">
      <t>イリョク</t>
    </rPh>
    <rPh sb="2" eb="4">
      <t>ケッテイ</t>
    </rPh>
    <phoneticPr fontId="4"/>
  </si>
  <si>
    <t>ジャンプ、角度決定</t>
    <rPh sb="5" eb="9">
      <t>カクドケッテイ</t>
    </rPh>
    <phoneticPr fontId="4"/>
  </si>
  <si>
    <t>ゲームスタート</t>
    <phoneticPr fontId="4"/>
  </si>
  <si>
    <t>(例)ＩＮＩＴＩＡＬＩＺＥ</t>
    <rPh sb="1" eb="2">
      <t>レイ</t>
    </rPh>
    <phoneticPr fontId="4"/>
  </si>
  <si>
    <t>・キャラクター描画</t>
    <rPh sb="7" eb="9">
      <t>ビョウガ</t>
    </rPh>
    <phoneticPr fontId="4"/>
  </si>
  <si>
    <t>ギフト　仕様書</t>
    <rPh sb="4" eb="7">
      <t>シヨウショ</t>
    </rPh>
    <phoneticPr fontId="4"/>
  </si>
  <si>
    <t>ギフト(gift)</t>
    <phoneticPr fontId="4"/>
  </si>
  <si>
    <t>アドベンチャー</t>
    <phoneticPr fontId="4"/>
  </si>
  <si>
    <t>10代後半から20代前半</t>
    <rPh sb="2" eb="3">
      <t>ダイ</t>
    </rPh>
    <rPh sb="3" eb="5">
      <t>コウハン</t>
    </rPh>
    <rPh sb="9" eb="10">
      <t>ダイ</t>
    </rPh>
    <rPh sb="10" eb="12">
      <t>ゼンハン</t>
    </rPh>
    <phoneticPr fontId="4"/>
  </si>
  <si>
    <t>アイテムの入手</t>
    <rPh sb="5" eb="7">
      <t>ニュウシュ</t>
    </rPh>
    <phoneticPr fontId="4"/>
  </si>
  <si>
    <t>タイムオーバー</t>
    <phoneticPr fontId="4"/>
  </si>
  <si>
    <t>時間内にアイテムを見つけ入手する</t>
    <rPh sb="0" eb="3">
      <t>ジカンナイ</t>
    </rPh>
    <rPh sb="9" eb="10">
      <t>ミ</t>
    </rPh>
    <rPh sb="12" eb="14">
      <t>ニュウシュ</t>
    </rPh>
    <phoneticPr fontId="4"/>
  </si>
  <si>
    <t>▼失敗条件</t>
    <phoneticPr fontId="4"/>
  </si>
  <si>
    <t>タイムオーバーによる残機の全消費</t>
    <rPh sb="10" eb="12">
      <t>ザンキ</t>
    </rPh>
    <rPh sb="13" eb="14">
      <t>ゼン</t>
    </rPh>
    <rPh sb="14" eb="16">
      <t>ショウヒ</t>
    </rPh>
    <phoneticPr fontId="4"/>
  </si>
  <si>
    <t>残機全消費</t>
    <rPh sb="0" eb="2">
      <t>ザンキ</t>
    </rPh>
    <rPh sb="2" eb="3">
      <t>ゼン</t>
    </rPh>
    <rPh sb="3" eb="5">
      <t>ショウヒ</t>
    </rPh>
    <phoneticPr fontId="4"/>
  </si>
  <si>
    <t>家の中で起床</t>
    <rPh sb="0" eb="1">
      <t>イエ</t>
    </rPh>
    <rPh sb="2" eb="3">
      <t>ナカ</t>
    </rPh>
    <rPh sb="4" eb="6">
      <t>キショウ</t>
    </rPh>
    <phoneticPr fontId="4"/>
  </si>
  <si>
    <t>アイテム収集</t>
    <rPh sb="4" eb="6">
      <t>シュウシュウ</t>
    </rPh>
    <phoneticPr fontId="4"/>
  </si>
  <si>
    <t>エンディング画面</t>
    <rPh sb="6" eb="8">
      <t>ガメン</t>
    </rPh>
    <phoneticPr fontId="4"/>
  </si>
  <si>
    <t>オプション画面</t>
    <rPh sb="5" eb="7">
      <t>ガメン</t>
    </rPh>
    <phoneticPr fontId="4"/>
  </si>
  <si>
    <t>戻るを選択</t>
    <rPh sb="0" eb="1">
      <t>モド</t>
    </rPh>
    <rPh sb="3" eb="5">
      <t>センタク</t>
    </rPh>
    <phoneticPr fontId="4"/>
  </si>
  <si>
    <t>ステージクリア</t>
    <phoneticPr fontId="4"/>
  </si>
  <si>
    <t>ゲームオーバー</t>
    <phoneticPr fontId="4"/>
  </si>
  <si>
    <t>残機消費し再挑戦</t>
    <rPh sb="0" eb="2">
      <t>ザンキ</t>
    </rPh>
    <rPh sb="2" eb="4">
      <t>ショウヒ</t>
    </rPh>
    <rPh sb="5" eb="8">
      <t>サイチョウセン</t>
    </rPh>
    <phoneticPr fontId="4"/>
  </si>
  <si>
    <t>残機全消費による復活不可</t>
    <rPh sb="0" eb="2">
      <t>ザンキ</t>
    </rPh>
    <rPh sb="2" eb="3">
      <t>ゼン</t>
    </rPh>
    <rPh sb="3" eb="5">
      <t>ショウヒ</t>
    </rPh>
    <phoneticPr fontId="4"/>
  </si>
  <si>
    <t xml:space="preserve">  アイテム入手</t>
    <rPh sb="6" eb="8">
      <t>ニュウシュ</t>
    </rPh>
    <phoneticPr fontId="4"/>
  </si>
  <si>
    <t>no</t>
    <phoneticPr fontId="4"/>
  </si>
  <si>
    <t>yes</t>
    <phoneticPr fontId="4"/>
  </si>
  <si>
    <t>全アイテム入手</t>
    <rPh sb="0" eb="1">
      <t>ゼン</t>
    </rPh>
    <rPh sb="5" eb="7">
      <t>ニュウシュ</t>
    </rPh>
    <phoneticPr fontId="4"/>
  </si>
  <si>
    <t>帰宅</t>
    <rPh sb="0" eb="2">
      <t>キタク</t>
    </rPh>
    <phoneticPr fontId="4"/>
  </si>
  <si>
    <t>リザルト画面</t>
  </si>
  <si>
    <t>アイテムの入手の有無</t>
    <rPh sb="5" eb="7">
      <t>ニュウシュ</t>
    </rPh>
    <rPh sb="8" eb="10">
      <t>ウム</t>
    </rPh>
    <phoneticPr fontId="4"/>
  </si>
  <si>
    <t>タイトル</t>
    <phoneticPr fontId="4"/>
  </si>
  <si>
    <t>タイトルロゴ</t>
    <phoneticPr fontId="4"/>
  </si>
  <si>
    <t>主人公(男の子)</t>
    <rPh sb="0" eb="3">
      <t>シュジンコウ</t>
    </rPh>
    <rPh sb="4" eb="5">
      <t>オトコ</t>
    </rPh>
    <rPh sb="6" eb="7">
      <t>コ</t>
    </rPh>
    <phoneticPr fontId="4"/>
  </si>
  <si>
    <t>メイン</t>
    <phoneticPr fontId="4"/>
  </si>
  <si>
    <t>シナリオ流れ.txt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</si>
</sst>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[$-F400]h:mm:ss\ AM/PM"/>
  </numFmts>
  <fonts count="28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  <font>
      <sz val="36"/>
      <color theme="1"/>
      <name val="HGP創英角ﾎﾟｯﾌﾟ体"/>
      <family val="3"/>
      <charset val="128"/>
    </font>
    <font>
      <sz val="9"/>
      <color theme="1"/>
      <name val="游ゴシック"/>
      <family val="2"/>
      <scheme val="minor"/>
    </font>
    <font>
      <sz val="36"/>
      <color theme="1"/>
      <name val="富士ポップＰ"/>
      <family val="3"/>
      <charset val="128"/>
    </font>
    <font>
      <b/>
      <sz val="16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000000"/>
      <name val="Calibri"/>
      <family val="2"/>
    </font>
    <font>
      <sz val="11"/>
      <color rgb="FF24242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rgb="FF0070C0"/>
      <name val="游ゴシック"/>
      <family val="3"/>
      <charset val="128"/>
      <scheme val="minor"/>
    </font>
    <font>
      <sz val="11"/>
      <color rgb="FF000000"/>
      <name val="游ゴシック"/>
      <family val="2"/>
      <scheme val="minor"/>
    </font>
    <font>
      <sz val="11"/>
      <color rgb="FFFFC000"/>
      <name val="游ゴシック"/>
      <family val="2"/>
      <scheme val="minor"/>
    </font>
    <font>
      <sz val="26"/>
      <color theme="1"/>
      <name val="富士ポップＰ"/>
      <family val="3"/>
      <charset val="128"/>
    </font>
    <font>
      <b/>
      <strike/>
      <sz val="24"/>
      <color theme="1"/>
      <name val="游ゴシック"/>
      <family val="3"/>
      <charset val="128"/>
      <scheme val="minor"/>
    </font>
    <font>
      <strike/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6" fillId="0" borderId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</cellStyleXfs>
  <cellXfs count="18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3" borderId="8" xfId="0" applyFill="1" applyBorder="1" applyAlignment="1">
      <alignment horizontal="center"/>
    </xf>
    <xf numFmtId="0" fontId="0" fillId="0" borderId="12" xfId="0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3" borderId="1" xfId="0" applyFill="1" applyBorder="1" applyAlignment="1">
      <alignment horizontal="center"/>
    </xf>
    <xf numFmtId="0" fontId="0" fillId="0" borderId="0" xfId="0" applyAlignment="1">
      <alignment shrinkToFit="1"/>
    </xf>
    <xf numFmtId="0" fontId="0" fillId="0" borderId="1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0" fillId="0" borderId="22" xfId="0" applyBorder="1" applyAlignment="1">
      <alignment shrinkToFit="1"/>
    </xf>
    <xf numFmtId="0" fontId="6" fillId="0" borderId="0" xfId="2">
      <alignment vertical="center"/>
    </xf>
    <xf numFmtId="0" fontId="6" fillId="0" borderId="1" xfId="2" applyBorder="1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5" fillId="4" borderId="0" xfId="1" applyFill="1" applyAlignment="1"/>
    <xf numFmtId="0" fontId="8" fillId="0" borderId="7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3" xfId="0" applyBorder="1" applyAlignment="1">
      <alignment horizontal="left"/>
    </xf>
    <xf numFmtId="0" fontId="0" fillId="0" borderId="0" xfId="0" applyAlignment="1">
      <alignment vertical="center"/>
    </xf>
    <xf numFmtId="0" fontId="0" fillId="5" borderId="1" xfId="0" applyFill="1" applyBorder="1"/>
    <xf numFmtId="0" fontId="0" fillId="0" borderId="0" xfId="0" applyAlignment="1">
      <alignment horizontal="center" shrinkToFit="1"/>
    </xf>
    <xf numFmtId="0" fontId="11" fillId="0" borderId="0" xfId="0" applyFont="1"/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77" fontId="0" fillId="6" borderId="1" xfId="0" applyNumberFormat="1" applyFill="1" applyBorder="1" applyAlignment="1">
      <alignment vertical="top"/>
    </xf>
    <xf numFmtId="177" fontId="0" fillId="0" borderId="1" xfId="0" applyNumberFormat="1" applyBorder="1"/>
    <xf numFmtId="177" fontId="0" fillId="0" borderId="0" xfId="0" applyNumberFormat="1"/>
    <xf numFmtId="0" fontId="5" fillId="0" borderId="1" xfId="1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0" xfId="0" applyAlignment="1">
      <alignment horizontal="left" vertical="top"/>
    </xf>
    <xf numFmtId="0" fontId="14" fillId="0" borderId="0" xfId="0" applyFont="1"/>
    <xf numFmtId="0" fontId="0" fillId="0" borderId="10" xfId="0" applyBorder="1" applyAlignment="1">
      <alignment horizontal="left" vertical="top" shrinkToFit="1"/>
    </xf>
    <xf numFmtId="0" fontId="0" fillId="0" borderId="0" xfId="0" applyAlignment="1">
      <alignment horizontal="center" vertical="center" wrapText="1"/>
    </xf>
    <xf numFmtId="0" fontId="15" fillId="0" borderId="29" xfId="0" applyFont="1" applyBorder="1"/>
    <xf numFmtId="0" fontId="0" fillId="0" borderId="21" xfId="0" applyBorder="1"/>
    <xf numFmtId="0" fontId="0" fillId="0" borderId="8" xfId="0" applyBorder="1"/>
    <xf numFmtId="0" fontId="17" fillId="0" borderId="29" xfId="0" applyFont="1" applyBorder="1"/>
    <xf numFmtId="0" fontId="17" fillId="0" borderId="0" xfId="0" applyFont="1"/>
    <xf numFmtId="0" fontId="3" fillId="8" borderId="0" xfId="4" applyAlignment="1">
      <alignment horizontal="center"/>
    </xf>
    <xf numFmtId="0" fontId="3" fillId="8" borderId="0" xfId="4" applyAlignment="1"/>
    <xf numFmtId="0" fontId="3" fillId="8" borderId="0" xfId="4" applyAlignment="1">
      <alignment shrinkToFit="1"/>
    </xf>
    <xf numFmtId="0" fontId="3" fillId="8" borderId="0" xfId="4" applyAlignment="1">
      <alignment vertical="center" shrinkToFit="1"/>
    </xf>
    <xf numFmtId="0" fontId="3" fillId="7" borderId="30" xfId="3" applyBorder="1" applyAlignment="1"/>
    <xf numFmtId="0" fontId="20" fillId="0" borderId="9" xfId="1" applyFont="1" applyBorder="1"/>
    <xf numFmtId="0" fontId="20" fillId="0" borderId="9" xfId="0" applyFont="1" applyBorder="1"/>
    <xf numFmtId="0" fontId="19" fillId="7" borderId="30" xfId="3" applyFont="1" applyBorder="1" applyAlignment="1">
      <alignment vertical="center"/>
    </xf>
    <xf numFmtId="177" fontId="3" fillId="8" borderId="0" xfId="4" applyNumberFormat="1" applyAlignment="1"/>
    <xf numFmtId="0" fontId="3" fillId="7" borderId="1" xfId="3" applyBorder="1" applyAlignment="1"/>
    <xf numFmtId="0" fontId="3" fillId="7" borderId="1" xfId="3" applyBorder="1">
      <alignment vertical="center"/>
    </xf>
    <xf numFmtId="0" fontId="20" fillId="8" borderId="0" xfId="4" applyFont="1" applyAlignment="1">
      <alignment shrinkToFit="1"/>
    </xf>
    <xf numFmtId="0" fontId="20" fillId="8" borderId="0" xfId="4" applyFont="1" applyAlignment="1"/>
    <xf numFmtId="0" fontId="21" fillId="0" borderId="1" xfId="0" applyFont="1" applyBorder="1"/>
    <xf numFmtId="0" fontId="0" fillId="12" borderId="0" xfId="0" applyFill="1"/>
    <xf numFmtId="0" fontId="0" fillId="12" borderId="24" xfId="0" applyFill="1" applyBorder="1"/>
    <xf numFmtId="0" fontId="0" fillId="12" borderId="23" xfId="0" applyFill="1" applyBorder="1"/>
    <xf numFmtId="0" fontId="0" fillId="12" borderId="11" xfId="0" applyFill="1" applyBorder="1"/>
    <xf numFmtId="0" fontId="0" fillId="12" borderId="25" xfId="0" applyFill="1" applyBorder="1"/>
    <xf numFmtId="0" fontId="0" fillId="12" borderId="10" xfId="0" applyFill="1" applyBorder="1"/>
    <xf numFmtId="0" fontId="0" fillId="13" borderId="25" xfId="0" applyFill="1" applyBorder="1"/>
    <xf numFmtId="0" fontId="0" fillId="13" borderId="0" xfId="0" applyFill="1"/>
    <xf numFmtId="0" fontId="0" fillId="13" borderId="24" xfId="0" applyFill="1" applyBorder="1"/>
    <xf numFmtId="0" fontId="22" fillId="12" borderId="0" xfId="0" applyFont="1" applyFill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10" borderId="42" xfId="0" applyFill="1" applyBorder="1"/>
    <xf numFmtId="0" fontId="0" fillId="11" borderId="41" xfId="0" applyFill="1" applyBorder="1"/>
    <xf numFmtId="0" fontId="0" fillId="14" borderId="26" xfId="0" applyFill="1" applyBorder="1"/>
    <xf numFmtId="0" fontId="0" fillId="14" borderId="27" xfId="0" applyFill="1" applyBorder="1"/>
    <xf numFmtId="0" fontId="0" fillId="14" borderId="28" xfId="0" applyFill="1" applyBorder="1"/>
    <xf numFmtId="0" fontId="0" fillId="14" borderId="25" xfId="0" applyFill="1" applyBorder="1"/>
    <xf numFmtId="0" fontId="0" fillId="14" borderId="0" xfId="0" applyFill="1"/>
    <xf numFmtId="0" fontId="0" fillId="14" borderId="24" xfId="0" applyFill="1" applyBorder="1"/>
    <xf numFmtId="0" fontId="0" fillId="15" borderId="0" xfId="0" applyFill="1"/>
    <xf numFmtId="0" fontId="0" fillId="6" borderId="0" xfId="0" applyFill="1"/>
    <xf numFmtId="0" fontId="0" fillId="16" borderId="0" xfId="0" applyFill="1"/>
    <xf numFmtId="0" fontId="0" fillId="17" borderId="0" xfId="0" applyFill="1"/>
    <xf numFmtId="0" fontId="0" fillId="0" borderId="0" xfId="0" applyAlignment="1">
      <alignment vertical="top" shrinkToFit="1"/>
    </xf>
    <xf numFmtId="0" fontId="3" fillId="0" borderId="0" xfId="3" applyFill="1" applyBorder="1" applyAlignment="1">
      <alignment shrinkToFit="1"/>
    </xf>
    <xf numFmtId="0" fontId="12" fillId="0" borderId="0" xfId="0" applyFont="1" applyAlignment="1">
      <alignment horizontal="center"/>
    </xf>
    <xf numFmtId="0" fontId="5" fillId="0" borderId="9" xfId="1" applyBorder="1"/>
    <xf numFmtId="0" fontId="0" fillId="0" borderId="43" xfId="0" applyBorder="1"/>
    <xf numFmtId="0" fontId="25" fillId="0" borderId="1" xfId="0" applyFont="1" applyBorder="1"/>
    <xf numFmtId="0" fontId="26" fillId="0" borderId="1" xfId="0" applyFont="1" applyBorder="1"/>
    <xf numFmtId="0" fontId="0" fillId="0" borderId="0" xfId="0" applyAlignment="1">
      <alignment vertical="center" wrapText="1"/>
    </xf>
    <xf numFmtId="0" fontId="3" fillId="8" borderId="0" xfId="4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7" borderId="30" xfId="3" applyBorder="1" applyAlignment="1">
      <alignment horizontal="center"/>
    </xf>
    <xf numFmtId="0" fontId="1" fillId="8" borderId="0" xfId="4" applyFont="1" applyAlignment="1">
      <alignment horizontal="left"/>
    </xf>
    <xf numFmtId="0" fontId="3" fillId="8" borderId="0" xfId="4" applyAlignment="1">
      <alignment horizontal="left"/>
    </xf>
    <xf numFmtId="0" fontId="3" fillId="7" borderId="30" xfId="3" applyBorder="1" applyAlignment="1">
      <alignment horizontal="center" shrinkToFit="1"/>
    </xf>
    <xf numFmtId="0" fontId="0" fillId="0" borderId="8" xfId="0" applyBorder="1" applyAlignment="1">
      <alignment horizontal="left" vertical="top" shrinkToFit="1"/>
    </xf>
    <xf numFmtId="0" fontId="0" fillId="0" borderId="9" xfId="0" applyBorder="1" applyAlignment="1">
      <alignment horizontal="left" vertical="top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top" shrinkToFit="1"/>
    </xf>
    <xf numFmtId="0" fontId="3" fillId="7" borderId="5" xfId="3" applyBorder="1" applyAlignment="1">
      <alignment horizontal="left"/>
    </xf>
    <xf numFmtId="0" fontId="3" fillId="7" borderId="13" xfId="3" applyBorder="1" applyAlignment="1">
      <alignment horizontal="left"/>
    </xf>
    <xf numFmtId="0" fontId="3" fillId="7" borderId="6" xfId="3" applyBorder="1" applyAlignment="1">
      <alignment horizontal="left"/>
    </xf>
    <xf numFmtId="0" fontId="1" fillId="7" borderId="5" xfId="3" applyFont="1" applyBorder="1" applyAlignment="1">
      <alignment horizontal="left"/>
    </xf>
    <xf numFmtId="0" fontId="2" fillId="7" borderId="5" xfId="3" applyFont="1" applyBorder="1" applyAlignment="1">
      <alignment horizontal="left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5" fillId="0" borderId="7" xfId="1" applyBorder="1" applyAlignment="1">
      <alignment horizontal="center" vertical="center"/>
    </xf>
    <xf numFmtId="0" fontId="5" fillId="0" borderId="14" xfId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16" xfId="1" applyBorder="1" applyAlignment="1">
      <alignment horizontal="center" vertical="center"/>
    </xf>
    <xf numFmtId="0" fontId="5" fillId="0" borderId="0" xfId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5" fillId="0" borderId="19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5" fillId="0" borderId="0" xfId="1" applyAlignment="1">
      <alignment horizontal="center"/>
    </xf>
    <xf numFmtId="0" fontId="0" fillId="0" borderId="22" xfId="0" applyBorder="1" applyAlignment="1">
      <alignment horizontal="left" vertical="top" shrinkToFit="1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shrinkToFit="1"/>
    </xf>
    <xf numFmtId="0" fontId="0" fillId="0" borderId="0" xfId="0" applyAlignment="1">
      <alignment shrinkToFit="1"/>
    </xf>
    <xf numFmtId="0" fontId="3" fillId="7" borderId="8" xfId="3" applyBorder="1" applyAlignment="1">
      <alignment horizontal="center" shrinkToFit="1"/>
    </xf>
    <xf numFmtId="0" fontId="3" fillId="7" borderId="22" xfId="3" applyBorder="1" applyAlignment="1">
      <alignment horizontal="center" shrinkToFit="1"/>
    </xf>
    <xf numFmtId="0" fontId="3" fillId="7" borderId="9" xfId="3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vertical="top" shrinkToFit="1"/>
    </xf>
    <xf numFmtId="0" fontId="0" fillId="0" borderId="27" xfId="0" applyBorder="1" applyAlignment="1">
      <alignment horizontal="center" vertical="top" shrinkToFit="1"/>
    </xf>
    <xf numFmtId="0" fontId="0" fillId="0" borderId="28" xfId="0" applyBorder="1" applyAlignment="1">
      <alignment horizontal="center" vertical="top" shrinkToFit="1"/>
    </xf>
    <xf numFmtId="0" fontId="0" fillId="0" borderId="25" xfId="0" applyBorder="1" applyAlignment="1">
      <alignment horizontal="center" vertical="top" shrinkToFit="1"/>
    </xf>
    <xf numFmtId="0" fontId="0" fillId="0" borderId="0" xfId="0" applyAlignment="1">
      <alignment horizontal="center" vertical="top" shrinkToFit="1"/>
    </xf>
    <xf numFmtId="0" fontId="0" fillId="0" borderId="24" xfId="0" applyBorder="1" applyAlignment="1">
      <alignment horizontal="center" vertical="top" shrinkToFit="1"/>
    </xf>
    <xf numFmtId="0" fontId="0" fillId="0" borderId="10" xfId="0" applyBorder="1" applyAlignment="1">
      <alignment horizontal="center" vertical="top" shrinkToFit="1"/>
    </xf>
    <xf numFmtId="0" fontId="0" fillId="0" borderId="23" xfId="0" applyBorder="1" applyAlignment="1">
      <alignment horizontal="center" vertical="top" shrinkToFit="1"/>
    </xf>
    <xf numFmtId="0" fontId="0" fillId="0" borderId="11" xfId="0" applyBorder="1" applyAlignment="1">
      <alignment horizontal="center" vertical="top" shrinkToFit="1"/>
    </xf>
    <xf numFmtId="0" fontId="5" fillId="0" borderId="0" xfId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3" borderId="1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23" xfId="0" applyBorder="1" applyAlignment="1">
      <alignment horizontal="center"/>
    </xf>
    <xf numFmtId="0" fontId="27" fillId="0" borderId="0" xfId="0" applyFont="1"/>
  </cellXfs>
  <cellStyles count="5">
    <cellStyle name="40% - アクセント 2" xfId="3" builtinId="35"/>
    <cellStyle name="40% - アクセント 6" xfId="4" builtinId="51"/>
    <cellStyle name="ハイパーリンク" xfId="1" builtinId="8"/>
    <cellStyle name="標準" xfId="0" builtinId="0"/>
    <cellStyle name="標準 2" xfId="2" xr:uid="{00000000-0005-0000-0000-000002000000}"/>
  </cellStyles>
  <dxfs count="4">
    <dxf>
      <fill>
        <patternFill>
          <bgColor theme="1" tint="0.499984740745262"/>
        </patternFill>
      </fill>
    </dxf>
    <dxf>
      <font>
        <strike val="0"/>
        <color auto="1"/>
      </font>
      <numFmt numFmtId="0" formatCode="General"/>
      <fill>
        <patternFill patternType="solid"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DE8EC3"/>
      <color rgb="FFB5897B"/>
      <color rgb="FFC5E0B4"/>
      <color rgb="FFF6EBDC"/>
      <color rgb="FFFCE9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11</xdr:row>
      <xdr:rowOff>0</xdr:rowOff>
    </xdr:from>
    <xdr:to>
      <xdr:col>14</xdr:col>
      <xdr:colOff>0</xdr:colOff>
      <xdr:row>14</xdr:row>
      <xdr:rowOff>4762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486150" y="2471738"/>
          <a:ext cx="9525" cy="68103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52389</xdr:colOff>
      <xdr:row>26</xdr:row>
      <xdr:rowOff>209550</xdr:rowOff>
    </xdr:from>
    <xdr:to>
      <xdr:col>14</xdr:col>
      <xdr:colOff>57151</xdr:colOff>
      <xdr:row>30</xdr:row>
      <xdr:rowOff>57151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3548064" y="6081713"/>
          <a:ext cx="4762" cy="76200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6350</xdr:colOff>
      <xdr:row>5</xdr:row>
      <xdr:rowOff>9525</xdr:rowOff>
    </xdr:from>
    <xdr:to>
      <xdr:col>14</xdr:col>
      <xdr:colOff>14288</xdr:colOff>
      <xdr:row>8</xdr:row>
      <xdr:rowOff>14287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3502025" y="1128713"/>
          <a:ext cx="7938" cy="681037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42863</xdr:colOff>
      <xdr:row>2</xdr:row>
      <xdr:rowOff>14288</xdr:rowOff>
    </xdr:from>
    <xdr:to>
      <xdr:col>18</xdr:col>
      <xdr:colOff>4763</xdr:colOff>
      <xdr:row>5</xdr:row>
      <xdr:rowOff>42862</xdr:rowOff>
    </xdr:to>
    <xdr:sp macro="" textlink="">
      <xdr:nvSpPr>
        <xdr:cNvPr id="10" name="楕円 9">
          <a:extLst>
            <a:ext uri="{FF2B5EF4-FFF2-40B4-BE49-F238E27FC236}">
              <a16:creationId xmlns:a16="http://schemas.microsoft.com/office/drawing/2014/main" id="{00000000-0008-0000-0400-00000A000000}"/>
            </a:ext>
            <a:ext uri="{147F2762-F138-4A5C-976F-8EAC2B608ADB}">
              <a16:predDERef xmlns:a16="http://schemas.microsoft.com/office/drawing/2014/main" pred="{00000000-0008-0000-0400-00004C000000}"/>
            </a:ext>
          </a:extLst>
        </xdr:cNvPr>
        <xdr:cNvSpPr/>
      </xdr:nvSpPr>
      <xdr:spPr>
        <a:xfrm>
          <a:off x="2824163" y="461963"/>
          <a:ext cx="1628775" cy="700087"/>
        </a:xfrm>
        <a:prstGeom prst="ellipse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14288</xdr:colOff>
      <xdr:row>17</xdr:row>
      <xdr:rowOff>14288</xdr:rowOff>
    </xdr:from>
    <xdr:to>
      <xdr:col>14</xdr:col>
      <xdr:colOff>19051</xdr:colOff>
      <xdr:row>19</xdr:row>
      <xdr:rowOff>47626</xdr:rowOff>
    </xdr:to>
    <xdr:cxnSp macro="">
      <xdr:nvCxnSpPr>
        <xdr:cNvPr id="14" name="直線矢印コネクタ 1">
          <a:extLst>
            <a:ext uri="{FF2B5EF4-FFF2-40B4-BE49-F238E27FC236}">
              <a16:creationId xmlns:a16="http://schemas.microsoft.com/office/drawing/2014/main" id="{F3D1C968-E0C7-4085-9026-3178656D5B93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09963" y="3848101"/>
          <a:ext cx="4763" cy="485775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</xdr:colOff>
      <xdr:row>9</xdr:row>
      <xdr:rowOff>9525</xdr:rowOff>
    </xdr:from>
    <xdr:to>
      <xdr:col>21</xdr:col>
      <xdr:colOff>228600</xdr:colOff>
      <xdr:row>9</xdr:row>
      <xdr:rowOff>9526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5DE4910A-2DED-40C0-9426-03A32444C750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 flipV="1">
          <a:off x="4186237" y="2028825"/>
          <a:ext cx="1204913" cy="1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219075</xdr:colOff>
      <xdr:row>10</xdr:row>
      <xdr:rowOff>0</xdr:rowOff>
    </xdr:from>
    <xdr:to>
      <xdr:col>21</xdr:col>
      <xdr:colOff>233363</xdr:colOff>
      <xdr:row>10</xdr:row>
      <xdr:rowOff>4762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E8492C38-F423-40FC-9BB9-D08026C792DF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 flipH="1">
          <a:off x="4191000" y="2243138"/>
          <a:ext cx="1204913" cy="4762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</xdr:colOff>
      <xdr:row>22</xdr:row>
      <xdr:rowOff>4763</xdr:rowOff>
    </xdr:from>
    <xdr:to>
      <xdr:col>14</xdr:col>
      <xdr:colOff>38100</xdr:colOff>
      <xdr:row>24</xdr:row>
      <xdr:rowOff>47626</xdr:rowOff>
    </xdr:to>
    <xdr:cxnSp macro="">
      <xdr:nvCxnSpPr>
        <xdr:cNvPr id="32" name="直線矢印コネクタ 1">
          <a:extLst>
            <a:ext uri="{FF2B5EF4-FFF2-40B4-BE49-F238E27FC236}">
              <a16:creationId xmlns:a16="http://schemas.microsoft.com/office/drawing/2014/main" id="{12352DA8-1F37-48EB-89DB-9E48577D61FA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29012" y="4972051"/>
          <a:ext cx="4763" cy="495300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204788</xdr:colOff>
      <xdr:row>15</xdr:row>
      <xdr:rowOff>214313</xdr:rowOff>
    </xdr:from>
    <xdr:to>
      <xdr:col>11</xdr:col>
      <xdr:colOff>233363</xdr:colOff>
      <xdr:row>15</xdr:row>
      <xdr:rowOff>219075</xdr:rowOff>
    </xdr:to>
    <xdr:cxnSp macro="">
      <xdr:nvCxnSpPr>
        <xdr:cNvPr id="36" name="直線矢印コネクタ 35">
          <a:extLst>
            <a:ext uri="{FF2B5EF4-FFF2-40B4-BE49-F238E27FC236}">
              <a16:creationId xmlns:a16="http://schemas.microsoft.com/office/drawing/2014/main" id="{5FB30B8A-0EB7-A2B0-5AE6-4CB8E63EA6A2}"/>
            </a:ext>
          </a:extLst>
        </xdr:cNvPr>
        <xdr:cNvCxnSpPr/>
      </xdr:nvCxnSpPr>
      <xdr:spPr>
        <a:xfrm>
          <a:off x="2271713" y="3595688"/>
          <a:ext cx="742950" cy="4762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228600</xdr:colOff>
      <xdr:row>15</xdr:row>
      <xdr:rowOff>204788</xdr:rowOff>
    </xdr:from>
    <xdr:to>
      <xdr:col>8</xdr:col>
      <xdr:colOff>233363</xdr:colOff>
      <xdr:row>30</xdr:row>
      <xdr:rowOff>128588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219A94BC-906D-536D-729C-1DB905991477}"/>
            </a:ext>
          </a:extLst>
        </xdr:cNvPr>
        <xdr:cNvCxnSpPr/>
      </xdr:nvCxnSpPr>
      <xdr:spPr>
        <a:xfrm flipH="1">
          <a:off x="2295525" y="3576638"/>
          <a:ext cx="4763" cy="332422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30</xdr:row>
      <xdr:rowOff>138112</xdr:rowOff>
    </xdr:from>
    <xdr:to>
      <xdr:col>11</xdr:col>
      <xdr:colOff>228600</xdr:colOff>
      <xdr:row>30</xdr:row>
      <xdr:rowOff>138113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A37047B5-CBD1-BB6C-45A7-76A71BB758A7}"/>
            </a:ext>
          </a:extLst>
        </xdr:cNvPr>
        <xdr:cNvCxnSpPr/>
      </xdr:nvCxnSpPr>
      <xdr:spPr>
        <a:xfrm>
          <a:off x="2257425" y="6910387"/>
          <a:ext cx="752475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209551</xdr:colOff>
      <xdr:row>27</xdr:row>
      <xdr:rowOff>9525</xdr:rowOff>
    </xdr:from>
    <xdr:to>
      <xdr:col>22</xdr:col>
      <xdr:colOff>223838</xdr:colOff>
      <xdr:row>30</xdr:row>
      <xdr:rowOff>23812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A506136B-C5BE-4051-8B4B-415BE60D6F85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>
          <a:off x="5610226" y="6105525"/>
          <a:ext cx="14287" cy="704850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61913</xdr:colOff>
      <xdr:row>24</xdr:row>
      <xdr:rowOff>33338</xdr:rowOff>
    </xdr:from>
    <xdr:to>
      <xdr:col>17</xdr:col>
      <xdr:colOff>38101</xdr:colOff>
      <xdr:row>26</xdr:row>
      <xdr:rowOff>190500</xdr:rowOff>
    </xdr:to>
    <xdr:sp macro="" textlink="">
      <xdr:nvSpPr>
        <xdr:cNvPr id="53" name="フローチャート: 判断 52">
          <a:extLst>
            <a:ext uri="{FF2B5EF4-FFF2-40B4-BE49-F238E27FC236}">
              <a16:creationId xmlns:a16="http://schemas.microsoft.com/office/drawing/2014/main" id="{900F8E48-2F1A-A49B-59A1-1D913D10850C}"/>
            </a:ext>
          </a:extLst>
        </xdr:cNvPr>
        <xdr:cNvSpPr/>
      </xdr:nvSpPr>
      <xdr:spPr>
        <a:xfrm>
          <a:off x="2843213" y="5453063"/>
          <a:ext cx="1404938" cy="609600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42862</xdr:colOff>
      <xdr:row>25</xdr:row>
      <xdr:rowOff>114300</xdr:rowOff>
    </xdr:from>
    <xdr:to>
      <xdr:col>21</xdr:col>
      <xdr:colOff>52387</xdr:colOff>
      <xdr:row>25</xdr:row>
      <xdr:rowOff>119063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51FC59D0-CAD6-4E99-B80A-C203155727E9}"/>
            </a:ext>
          </a:extLst>
        </xdr:cNvPr>
        <xdr:cNvCxnSpPr/>
      </xdr:nvCxnSpPr>
      <xdr:spPr>
        <a:xfrm flipV="1">
          <a:off x="4252912" y="5757863"/>
          <a:ext cx="962025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4763</xdr:colOff>
      <xdr:row>30</xdr:row>
      <xdr:rowOff>23812</xdr:rowOff>
    </xdr:from>
    <xdr:to>
      <xdr:col>25</xdr:col>
      <xdr:colOff>219076</xdr:colOff>
      <xdr:row>32</xdr:row>
      <xdr:rowOff>180974</xdr:rowOff>
    </xdr:to>
    <xdr:sp macro="" textlink="">
      <xdr:nvSpPr>
        <xdr:cNvPr id="61" name="フローチャート: 判断 60">
          <a:extLst>
            <a:ext uri="{FF2B5EF4-FFF2-40B4-BE49-F238E27FC236}">
              <a16:creationId xmlns:a16="http://schemas.microsoft.com/office/drawing/2014/main" id="{65A0E033-798B-4300-A022-47721DA40458}"/>
            </a:ext>
          </a:extLst>
        </xdr:cNvPr>
        <xdr:cNvSpPr/>
      </xdr:nvSpPr>
      <xdr:spPr>
        <a:xfrm>
          <a:off x="4929188" y="6810375"/>
          <a:ext cx="1404938" cy="609599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33338</xdr:colOff>
      <xdr:row>37</xdr:row>
      <xdr:rowOff>9525</xdr:rowOff>
    </xdr:from>
    <xdr:to>
      <xdr:col>21</xdr:col>
      <xdr:colOff>28576</xdr:colOff>
      <xdr:row>37</xdr:row>
      <xdr:rowOff>14287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0C72274-46EF-4A85-AF38-509A65F4A520}"/>
            </a:ext>
          </a:extLst>
        </xdr:cNvPr>
        <xdr:cNvCxnSpPr/>
      </xdr:nvCxnSpPr>
      <xdr:spPr>
        <a:xfrm>
          <a:off x="1624013" y="8358188"/>
          <a:ext cx="3567113" cy="4762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32</xdr:row>
      <xdr:rowOff>219074</xdr:rowOff>
    </xdr:from>
    <xdr:to>
      <xdr:col>23</xdr:col>
      <xdr:colOff>16669</xdr:colOff>
      <xdr:row>36</xdr:row>
      <xdr:rowOff>14288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8527C762-818A-48B5-9FBD-3242B3AE6B2D}"/>
            </a:ext>
          </a:extLst>
        </xdr:cNvPr>
        <xdr:cNvCxnSpPr/>
      </xdr:nvCxnSpPr>
      <xdr:spPr>
        <a:xfrm flipH="1">
          <a:off x="5648325" y="7439024"/>
          <a:ext cx="7144" cy="700089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</xdr:colOff>
      <xdr:row>32</xdr:row>
      <xdr:rowOff>9525</xdr:rowOff>
    </xdr:from>
    <xdr:to>
      <xdr:col>12</xdr:col>
      <xdr:colOff>14287</xdr:colOff>
      <xdr:row>32</xdr:row>
      <xdr:rowOff>9526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5D5B4690-03E0-4865-AECF-BC8D9EBFF808}"/>
            </a:ext>
          </a:extLst>
        </xdr:cNvPr>
        <xdr:cNvCxnSpPr/>
      </xdr:nvCxnSpPr>
      <xdr:spPr>
        <a:xfrm>
          <a:off x="1604962" y="7229475"/>
          <a:ext cx="1428750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9</xdr:row>
      <xdr:rowOff>223837</xdr:rowOff>
    </xdr:from>
    <xdr:to>
      <xdr:col>6</xdr:col>
      <xdr:colOff>19051</xdr:colOff>
      <xdr:row>37</xdr:row>
      <xdr:rowOff>33337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CAA2E0EF-2C3C-449A-AE3F-085C10C64338}"/>
            </a:ext>
          </a:extLst>
        </xdr:cNvPr>
        <xdr:cNvCxnSpPr/>
      </xdr:nvCxnSpPr>
      <xdr:spPr>
        <a:xfrm flipH="1">
          <a:off x="1600200" y="2243137"/>
          <a:ext cx="9526" cy="6138863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9</xdr:row>
      <xdr:rowOff>219075</xdr:rowOff>
    </xdr:from>
    <xdr:to>
      <xdr:col>11</xdr:col>
      <xdr:colOff>223838</xdr:colOff>
      <xdr:row>10</xdr:row>
      <xdr:rowOff>19050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041222AA-F4DA-48E2-BD21-66E628B5D7B0}"/>
            </a:ext>
          </a:extLst>
        </xdr:cNvPr>
        <xdr:cNvCxnSpPr/>
      </xdr:nvCxnSpPr>
      <xdr:spPr>
        <a:xfrm flipV="1">
          <a:off x="1619250" y="2238375"/>
          <a:ext cx="1385888" cy="23813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233363</xdr:colOff>
      <xdr:row>31</xdr:row>
      <xdr:rowOff>109537</xdr:rowOff>
    </xdr:from>
    <xdr:to>
      <xdr:col>20</xdr:col>
      <xdr:colOff>4762</xdr:colOff>
      <xdr:row>31</xdr:row>
      <xdr:rowOff>114300</xdr:rowOff>
    </xdr:to>
    <xdr:cxnSp macro="">
      <xdr:nvCxnSpPr>
        <xdr:cNvPr id="80" name="直線矢印コネクタ 79">
          <a:extLst>
            <a:ext uri="{FF2B5EF4-FFF2-40B4-BE49-F238E27FC236}">
              <a16:creationId xmlns:a16="http://schemas.microsoft.com/office/drawing/2014/main" id="{C8F0AD8D-5723-4258-8DFF-63D17BD0EFD7}"/>
            </a:ext>
          </a:extLst>
        </xdr:cNvPr>
        <xdr:cNvCxnSpPr/>
      </xdr:nvCxnSpPr>
      <xdr:spPr>
        <a:xfrm flipH="1" flipV="1">
          <a:off x="4205288" y="7105650"/>
          <a:ext cx="723899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100339</xdr:colOff>
      <xdr:row>10</xdr:row>
      <xdr:rowOff>10830</xdr:rowOff>
    </xdr:from>
    <xdr:to>
      <xdr:col>53</xdr:col>
      <xdr:colOff>8351</xdr:colOff>
      <xdr:row>18</xdr:row>
      <xdr:rowOff>152923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18F98CE6-8DF7-66C0-DF19-641158057269}"/>
            </a:ext>
            <a:ext uri="{147F2762-F138-4A5C-976F-8EAC2B608ADB}">
              <a16:predDERef xmlns:a16="http://schemas.microsoft.com/office/drawing/2014/main" pre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97412" y="3540300"/>
          <a:ext cx="2256642" cy="1968805"/>
        </a:xfrm>
        <a:prstGeom prst="rect">
          <a:avLst/>
        </a:prstGeom>
      </xdr:spPr>
    </xdr:pic>
    <xdr:clientData/>
  </xdr:twoCellAnchor>
  <xdr:twoCellAnchor editAs="oneCell">
    <xdr:from>
      <xdr:col>10</xdr:col>
      <xdr:colOff>72491</xdr:colOff>
      <xdr:row>4</xdr:row>
      <xdr:rowOff>247912</xdr:rowOff>
    </xdr:from>
    <xdr:to>
      <xdr:col>41</xdr:col>
      <xdr:colOff>13914</xdr:colOff>
      <xdr:row>22</xdr:row>
      <xdr:rowOff>203137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92E33F4-0A40-0C9B-361F-B9423E05A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2936" y="1135172"/>
          <a:ext cx="7424420" cy="41762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109538</xdr:colOff>
      <xdr:row>11</xdr:row>
      <xdr:rowOff>80962</xdr:rowOff>
    </xdr:from>
    <xdr:to>
      <xdr:col>15</xdr:col>
      <xdr:colOff>23813</xdr:colOff>
      <xdr:row>12</xdr:row>
      <xdr:rowOff>4762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38B8D20B-D60C-B046-F1D4-CD66BCAC7F9E}"/>
            </a:ext>
          </a:extLst>
        </xdr:cNvPr>
        <xdr:cNvGrpSpPr/>
      </xdr:nvGrpSpPr>
      <xdr:grpSpPr>
        <a:xfrm>
          <a:off x="2175434" y="2558750"/>
          <a:ext cx="1581149" cy="161924"/>
          <a:chOff x="2143125" y="2557463"/>
          <a:chExt cx="1581150" cy="161925"/>
        </a:xfrm>
      </xdr:grpSpPr>
      <xdr:sp macro="" textlink="">
        <xdr:nvSpPr>
          <xdr:cNvPr id="2" name="四角形 1">
            <a:extLst>
              <a:ext uri="{FF2B5EF4-FFF2-40B4-BE49-F238E27FC236}">
                <a16:creationId xmlns:a16="http://schemas.microsoft.com/office/drawing/2014/main" id="{CF7AC467-8D89-812B-E045-21D7DF400AF2}"/>
              </a:ext>
            </a:extLst>
          </xdr:cNvPr>
          <xdr:cNvSpPr/>
        </xdr:nvSpPr>
        <xdr:spPr>
          <a:xfrm>
            <a:off x="2143125" y="2557463"/>
            <a:ext cx="1581150" cy="161925"/>
          </a:xfrm>
          <a:prstGeom prst="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3" name="四角形 2">
            <a:extLst>
              <a:ext uri="{FF2B5EF4-FFF2-40B4-BE49-F238E27FC236}">
                <a16:creationId xmlns:a16="http://schemas.microsoft.com/office/drawing/2014/main" id="{3535CC95-D209-4919-A337-57A5F85E8B34}"/>
              </a:ext>
              <a:ext uri="{147F2762-F138-4A5C-976F-8EAC2B608ADB}">
                <a16:predDERef xmlns:a16="http://schemas.microsoft.com/office/drawing/2014/main" pred="{CF7AC467-8D89-812B-E045-21D7DF400AF2}"/>
              </a:ext>
            </a:extLst>
          </xdr:cNvPr>
          <xdr:cNvSpPr/>
        </xdr:nvSpPr>
        <xdr:spPr>
          <a:xfrm>
            <a:off x="2147887" y="2557463"/>
            <a:ext cx="1333500" cy="161925"/>
          </a:xfrm>
          <a:prstGeom prst="rect">
            <a:avLst/>
          </a:prstGeom>
          <a:solidFill>
            <a:schemeClr val="accent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n-US"/>
          </a:p>
        </xdr:txBody>
      </xdr:sp>
    </xdr:grpSp>
    <xdr:clientData/>
  </xdr:twoCellAnchor>
  <xdr:twoCellAnchor>
    <xdr:from>
      <xdr:col>9</xdr:col>
      <xdr:colOff>219075</xdr:colOff>
      <xdr:row>27</xdr:row>
      <xdr:rowOff>114300</xdr:rowOff>
    </xdr:from>
    <xdr:to>
      <xdr:col>9</xdr:col>
      <xdr:colOff>228600</xdr:colOff>
      <xdr:row>28</xdr:row>
      <xdr:rowOff>142875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C41462E9-068A-DB4A-2124-4A923AB40DD9}"/>
            </a:ext>
            <a:ext uri="{147F2762-F138-4A5C-976F-8EAC2B608ADB}">
              <a16:predDERef xmlns:a16="http://schemas.microsoft.com/office/drawing/2014/main" pred="{3535CC95-D209-4919-A337-57A5F85E8B34}"/>
            </a:ext>
          </a:extLst>
        </xdr:cNvPr>
        <xdr:cNvCxnSpPr>
          <a:cxnSpLocks/>
        </xdr:cNvCxnSpPr>
      </xdr:nvCxnSpPr>
      <xdr:spPr>
        <a:xfrm flipV="1">
          <a:off x="2524125" y="6186488"/>
          <a:ext cx="9525" cy="252412"/>
        </a:xfrm>
        <a:prstGeom prst="line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95249</xdr:colOff>
      <xdr:row>8</xdr:row>
      <xdr:rowOff>61912</xdr:rowOff>
    </xdr:from>
    <xdr:to>
      <xdr:col>11</xdr:col>
      <xdr:colOff>85724</xdr:colOff>
      <xdr:row>11</xdr:row>
      <xdr:rowOff>133350</xdr:rowOff>
    </xdr:to>
    <xdr:grpSp>
      <xdr:nvGrpSpPr>
        <xdr:cNvPr id="6" name="グループ化 5">
          <a:extLst>
            <a:ext uri="{FF2B5EF4-FFF2-40B4-BE49-F238E27FC236}">
              <a16:creationId xmlns:a16="http://schemas.microsoft.com/office/drawing/2014/main" id="{6119742B-ADE3-AD02-63E0-D1BED0CAC775}"/>
            </a:ext>
          </a:extLst>
        </xdr:cNvPr>
        <xdr:cNvGrpSpPr/>
      </xdr:nvGrpSpPr>
      <xdr:grpSpPr>
        <a:xfrm>
          <a:off x="1684895" y="1863939"/>
          <a:ext cx="1181099" cy="747199"/>
          <a:chOff x="1685924" y="1852612"/>
          <a:chExt cx="1181100" cy="742951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4" name="角丸四角形 3">
            <a:extLst>
              <a:ext uri="{FF2B5EF4-FFF2-40B4-BE49-F238E27FC236}">
                <a16:creationId xmlns:a16="http://schemas.microsoft.com/office/drawing/2014/main" id="{B5A30BF0-91B3-B4BF-739C-0C82B0180F93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685924" y="185261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体力ゲージ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5" name="下矢印 4">
            <a:extLst>
              <a:ext uri="{FF2B5EF4-FFF2-40B4-BE49-F238E27FC236}">
                <a16:creationId xmlns:a16="http://schemas.microsoft.com/office/drawing/2014/main" id="{38F77888-CCD6-D7C7-FCBD-490B7200587A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9088697">
            <a:off x="1876425" y="2062163"/>
            <a:ext cx="152400" cy="53340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13</xdr:col>
      <xdr:colOff>138114</xdr:colOff>
      <xdr:row>28</xdr:row>
      <xdr:rowOff>9528</xdr:rowOff>
    </xdr:from>
    <xdr:to>
      <xdr:col>18</xdr:col>
      <xdr:colOff>161925</xdr:colOff>
      <xdr:row>31</xdr:row>
      <xdr:rowOff>61915</xdr:rowOff>
    </xdr:to>
    <xdr:grpSp>
      <xdr:nvGrpSpPr>
        <xdr:cNvPr id="8" name="グループ化 7">
          <a:extLst>
            <a:ext uri="{FF2B5EF4-FFF2-40B4-BE49-F238E27FC236}">
              <a16:creationId xmlns:a16="http://schemas.microsoft.com/office/drawing/2014/main" id="{6B088771-CA5A-4721-8407-ED18A83BC1A6}"/>
            </a:ext>
          </a:extLst>
        </xdr:cNvPr>
        <xdr:cNvGrpSpPr/>
      </xdr:nvGrpSpPr>
      <xdr:grpSpPr>
        <a:xfrm>
          <a:off x="3394634" y="6342366"/>
          <a:ext cx="1214437" cy="728148"/>
          <a:chOff x="1652588" y="1524000"/>
          <a:chExt cx="1214436" cy="723900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9" name="角丸四角形 3">
            <a:extLst>
              <a:ext uri="{FF2B5EF4-FFF2-40B4-BE49-F238E27FC236}">
                <a16:creationId xmlns:a16="http://schemas.microsoft.com/office/drawing/2014/main" id="{EECEAD92-DBCC-9D28-A8A9-3B13F5DDB65D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685924" y="185261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威力決定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0" name="下矢印 4">
            <a:extLst>
              <a:ext uri="{FF2B5EF4-FFF2-40B4-BE49-F238E27FC236}">
                <a16:creationId xmlns:a16="http://schemas.microsoft.com/office/drawing/2014/main" id="{9265BD68-FF08-09B2-E81E-8DA430557C13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9510832">
            <a:off x="1652588" y="1524000"/>
            <a:ext cx="152400" cy="53340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30</xdr:col>
      <xdr:colOff>176212</xdr:colOff>
      <xdr:row>12</xdr:row>
      <xdr:rowOff>190500</xdr:rowOff>
    </xdr:from>
    <xdr:to>
      <xdr:col>38</xdr:col>
      <xdr:colOff>190499</xdr:colOff>
      <xdr:row>15</xdr:row>
      <xdr:rowOff>71437</xdr:rowOff>
    </xdr:to>
    <xdr:grpSp>
      <xdr:nvGrpSpPr>
        <xdr:cNvPr id="15" name="グループ化 14">
          <a:extLst>
            <a:ext uri="{FF2B5EF4-FFF2-40B4-BE49-F238E27FC236}">
              <a16:creationId xmlns:a16="http://schemas.microsoft.com/office/drawing/2014/main" id="{698F1A71-0635-C752-4624-F7DEE3A1878F}"/>
            </a:ext>
          </a:extLst>
        </xdr:cNvPr>
        <xdr:cNvGrpSpPr/>
      </xdr:nvGrpSpPr>
      <xdr:grpSpPr>
        <a:xfrm>
          <a:off x="7480858" y="2906412"/>
          <a:ext cx="1919287" cy="569570"/>
          <a:chOff x="5548312" y="3328988"/>
          <a:chExt cx="1919287" cy="566737"/>
        </a:xfrm>
      </xdr:grpSpPr>
      <xdr:sp macro="" textlink="">
        <xdr:nvSpPr>
          <xdr:cNvPr id="12" name="楕円 11">
            <a:extLst>
              <a:ext uri="{FF2B5EF4-FFF2-40B4-BE49-F238E27FC236}">
                <a16:creationId xmlns:a16="http://schemas.microsoft.com/office/drawing/2014/main" id="{65FC0635-0BF7-8F5C-FB76-3ACC7101549B}"/>
              </a:ext>
            </a:extLst>
          </xdr:cNvPr>
          <xdr:cNvSpPr/>
        </xdr:nvSpPr>
        <xdr:spPr>
          <a:xfrm>
            <a:off x="5548312" y="3509963"/>
            <a:ext cx="1190625" cy="38576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" name="楕円 12">
            <a:extLst>
              <a:ext uri="{FF2B5EF4-FFF2-40B4-BE49-F238E27FC236}">
                <a16:creationId xmlns:a16="http://schemas.microsoft.com/office/drawing/2014/main" id="{12D3900D-08E8-4C47-AE10-BC20C4D397B8}"/>
              </a:ext>
            </a:extLst>
          </xdr:cNvPr>
          <xdr:cNvSpPr/>
        </xdr:nvSpPr>
        <xdr:spPr>
          <a:xfrm>
            <a:off x="6276974" y="3467100"/>
            <a:ext cx="1190625" cy="38576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4" name="楕円 13">
            <a:extLst>
              <a:ext uri="{FF2B5EF4-FFF2-40B4-BE49-F238E27FC236}">
                <a16:creationId xmlns:a16="http://schemas.microsoft.com/office/drawing/2014/main" id="{883495D4-4E38-4448-8C8F-B858CA955FB2}"/>
              </a:ext>
            </a:extLst>
          </xdr:cNvPr>
          <xdr:cNvSpPr/>
        </xdr:nvSpPr>
        <xdr:spPr>
          <a:xfrm>
            <a:off x="5834062" y="3328988"/>
            <a:ext cx="1190625" cy="385762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10</xdr:col>
      <xdr:colOff>190500</xdr:colOff>
      <xdr:row>14</xdr:row>
      <xdr:rowOff>47625</xdr:rowOff>
    </xdr:from>
    <xdr:to>
      <xdr:col>20</xdr:col>
      <xdr:colOff>14287</xdr:colOff>
      <xdr:row>16</xdr:row>
      <xdr:rowOff>166688</xdr:rowOff>
    </xdr:to>
    <xdr:grpSp>
      <xdr:nvGrpSpPr>
        <xdr:cNvPr id="21" name="グループ化 20">
          <a:extLst>
            <a:ext uri="{FF2B5EF4-FFF2-40B4-BE49-F238E27FC236}">
              <a16:creationId xmlns:a16="http://schemas.microsoft.com/office/drawing/2014/main" id="{6AB38B17-6BA4-A158-7A64-20196646882B}"/>
            </a:ext>
          </a:extLst>
        </xdr:cNvPr>
        <xdr:cNvGrpSpPr/>
      </xdr:nvGrpSpPr>
      <xdr:grpSpPr>
        <a:xfrm>
          <a:off x="2732646" y="3226916"/>
          <a:ext cx="2205037" cy="569569"/>
          <a:chOff x="2733675" y="3209925"/>
          <a:chExt cx="2205037" cy="566738"/>
        </a:xfrm>
      </xdr:grpSpPr>
      <xdr:grpSp>
        <xdr:nvGrpSpPr>
          <xdr:cNvPr id="16" name="グループ化 15">
            <a:extLst>
              <a:ext uri="{FF2B5EF4-FFF2-40B4-BE49-F238E27FC236}">
                <a16:creationId xmlns:a16="http://schemas.microsoft.com/office/drawing/2014/main" id="{07C7D7F3-4949-4EF3-8976-FA5F5E0814F0}"/>
              </a:ext>
            </a:extLst>
          </xdr:cNvPr>
          <xdr:cNvGrpSpPr/>
        </xdr:nvGrpSpPr>
        <xdr:grpSpPr>
          <a:xfrm>
            <a:off x="3019425" y="3209925"/>
            <a:ext cx="1919287" cy="566737"/>
            <a:chOff x="5548312" y="3328988"/>
            <a:chExt cx="1919287" cy="566737"/>
          </a:xfrm>
        </xdr:grpSpPr>
        <xdr:sp macro="" textlink="">
          <xdr:nvSpPr>
            <xdr:cNvPr id="17" name="楕円 16">
              <a:extLst>
                <a:ext uri="{FF2B5EF4-FFF2-40B4-BE49-F238E27FC236}">
                  <a16:creationId xmlns:a16="http://schemas.microsoft.com/office/drawing/2014/main" id="{1F510333-50E5-F024-60BA-48A0CD2EEBAF}"/>
                </a:ext>
              </a:extLst>
            </xdr:cNvPr>
            <xdr:cNvSpPr/>
          </xdr:nvSpPr>
          <xdr:spPr>
            <a:xfrm>
              <a:off x="5548312" y="3509963"/>
              <a:ext cx="1190625" cy="385762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8" name="楕円 17">
              <a:extLst>
                <a:ext uri="{FF2B5EF4-FFF2-40B4-BE49-F238E27FC236}">
                  <a16:creationId xmlns:a16="http://schemas.microsoft.com/office/drawing/2014/main" id="{146BF3A7-0603-8413-CAC0-6EFBBA7AC540}"/>
                </a:ext>
              </a:extLst>
            </xdr:cNvPr>
            <xdr:cNvSpPr/>
          </xdr:nvSpPr>
          <xdr:spPr>
            <a:xfrm>
              <a:off x="6276974" y="3467100"/>
              <a:ext cx="1190625" cy="385762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9" name="楕円 18">
              <a:extLst>
                <a:ext uri="{FF2B5EF4-FFF2-40B4-BE49-F238E27FC236}">
                  <a16:creationId xmlns:a16="http://schemas.microsoft.com/office/drawing/2014/main" id="{0943A6C4-22C3-3437-4161-467375216CF4}"/>
                </a:ext>
              </a:extLst>
            </xdr:cNvPr>
            <xdr:cNvSpPr/>
          </xdr:nvSpPr>
          <xdr:spPr>
            <a:xfrm>
              <a:off x="5834062" y="3328988"/>
              <a:ext cx="1190625" cy="385762"/>
            </a:xfrm>
            <a:prstGeom prst="ellipse">
              <a:avLst/>
            </a:prstGeom>
            <a:solidFill>
              <a:schemeClr val="bg1"/>
            </a:solidFill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20" name="楕円 19">
            <a:extLst>
              <a:ext uri="{FF2B5EF4-FFF2-40B4-BE49-F238E27FC236}">
                <a16:creationId xmlns:a16="http://schemas.microsoft.com/office/drawing/2014/main" id="{4410BD3F-EA18-F57F-DB61-B5988B02BAA7}"/>
              </a:ext>
            </a:extLst>
          </xdr:cNvPr>
          <xdr:cNvSpPr/>
        </xdr:nvSpPr>
        <xdr:spPr>
          <a:xfrm>
            <a:off x="2733675" y="3557588"/>
            <a:ext cx="914400" cy="219075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8</xdr:col>
      <xdr:colOff>211175</xdr:colOff>
      <xdr:row>21</xdr:row>
      <xdr:rowOff>38099</xdr:rowOff>
    </xdr:from>
    <xdr:to>
      <xdr:col>11</xdr:col>
      <xdr:colOff>182058</xdr:colOff>
      <xdr:row>25</xdr:row>
      <xdr:rowOff>9525</xdr:rowOff>
    </xdr:to>
    <xdr:grpSp>
      <xdr:nvGrpSpPr>
        <xdr:cNvPr id="66" name="グループ化 65">
          <a:extLst>
            <a:ext uri="{FF2B5EF4-FFF2-40B4-BE49-F238E27FC236}">
              <a16:creationId xmlns:a16="http://schemas.microsoft.com/office/drawing/2014/main" id="{184213FD-E3C4-8362-92DD-C20A56BCC545}"/>
            </a:ext>
          </a:extLst>
        </xdr:cNvPr>
        <xdr:cNvGrpSpPr/>
      </xdr:nvGrpSpPr>
      <xdr:grpSpPr>
        <a:xfrm>
          <a:off x="2277071" y="4794164"/>
          <a:ext cx="685257" cy="872439"/>
          <a:chOff x="454062" y="3948112"/>
          <a:chExt cx="685258" cy="866776"/>
        </a:xfrm>
      </xdr:grpSpPr>
      <xdr:sp macro="" textlink="">
        <xdr:nvSpPr>
          <xdr:cNvPr id="30" name="楕円 29">
            <a:extLst>
              <a:ext uri="{FF2B5EF4-FFF2-40B4-BE49-F238E27FC236}">
                <a16:creationId xmlns:a16="http://schemas.microsoft.com/office/drawing/2014/main" id="{5FA4292D-1972-4CD9-9EC4-4F8BAB503B9D}"/>
              </a:ext>
            </a:extLst>
          </xdr:cNvPr>
          <xdr:cNvSpPr/>
        </xdr:nvSpPr>
        <xdr:spPr>
          <a:xfrm>
            <a:off x="890587" y="4029075"/>
            <a:ext cx="200026" cy="252412"/>
          </a:xfrm>
          <a:prstGeom prst="ellipse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65" name="グループ化 64">
            <a:extLst>
              <a:ext uri="{FF2B5EF4-FFF2-40B4-BE49-F238E27FC236}">
                <a16:creationId xmlns:a16="http://schemas.microsoft.com/office/drawing/2014/main" id="{58CF3CE9-FEA5-1D07-80D3-EE370D0C98B1}"/>
              </a:ext>
            </a:extLst>
          </xdr:cNvPr>
          <xdr:cNvGrpSpPr/>
        </xdr:nvGrpSpPr>
        <xdr:grpSpPr>
          <a:xfrm>
            <a:off x="454062" y="3948112"/>
            <a:ext cx="685258" cy="866776"/>
            <a:chOff x="739812" y="3405187"/>
            <a:chExt cx="685258" cy="866776"/>
          </a:xfrm>
        </xdr:grpSpPr>
        <xdr:sp macro="" textlink="">
          <xdr:nvSpPr>
            <xdr:cNvPr id="31" name="楕円 30">
              <a:extLst>
                <a:ext uri="{FF2B5EF4-FFF2-40B4-BE49-F238E27FC236}">
                  <a16:creationId xmlns:a16="http://schemas.microsoft.com/office/drawing/2014/main" id="{0837DCF1-B398-49FF-A082-A35447B4495B}"/>
                </a:ext>
              </a:extLst>
            </xdr:cNvPr>
            <xdr:cNvSpPr/>
          </xdr:nvSpPr>
          <xdr:spPr>
            <a:xfrm>
              <a:off x="1071563" y="3405187"/>
              <a:ext cx="247650" cy="223837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48" name="楕円 47">
              <a:extLst>
                <a:ext uri="{FF2B5EF4-FFF2-40B4-BE49-F238E27FC236}">
                  <a16:creationId xmlns:a16="http://schemas.microsoft.com/office/drawing/2014/main" id="{670CF80B-3EF3-FF91-C865-9B01A05A2E78}"/>
                </a:ext>
              </a:extLst>
            </xdr:cNvPr>
            <xdr:cNvSpPr/>
          </xdr:nvSpPr>
          <xdr:spPr>
            <a:xfrm rot="20507968">
              <a:off x="1097771" y="3805022"/>
              <a:ext cx="252031" cy="218739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64" name="グループ化 63">
              <a:extLst>
                <a:ext uri="{FF2B5EF4-FFF2-40B4-BE49-F238E27FC236}">
                  <a16:creationId xmlns:a16="http://schemas.microsoft.com/office/drawing/2014/main" id="{AEB98850-E32C-47D6-9447-BF5DD32E7699}"/>
                </a:ext>
              </a:extLst>
            </xdr:cNvPr>
            <xdr:cNvGrpSpPr/>
          </xdr:nvGrpSpPr>
          <xdr:grpSpPr>
            <a:xfrm>
              <a:off x="790576" y="3422823"/>
              <a:ext cx="634494" cy="849140"/>
              <a:chOff x="490539" y="4427710"/>
              <a:chExt cx="634494" cy="849140"/>
            </a:xfrm>
          </xdr:grpSpPr>
          <xdr:sp macro="" textlink="">
            <xdr:nvSpPr>
              <xdr:cNvPr id="22" name="正方形/長方形 21">
                <a:extLst>
                  <a:ext uri="{FF2B5EF4-FFF2-40B4-BE49-F238E27FC236}">
                    <a16:creationId xmlns:a16="http://schemas.microsoft.com/office/drawing/2014/main" id="{FEC8C3D1-56DC-799C-E69F-FD27E0198EDF}"/>
                  </a:ext>
                </a:extLst>
              </xdr:cNvPr>
              <xdr:cNvSpPr/>
            </xdr:nvSpPr>
            <xdr:spPr>
              <a:xfrm>
                <a:off x="723902" y="4795837"/>
                <a:ext cx="123824" cy="481013"/>
              </a:xfrm>
              <a:prstGeom prst="rect">
                <a:avLst/>
              </a:prstGeom>
              <a:solidFill>
                <a:srgbClr val="B5897B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5" name="楕円 54">
                <a:extLst>
                  <a:ext uri="{FF2B5EF4-FFF2-40B4-BE49-F238E27FC236}">
                    <a16:creationId xmlns:a16="http://schemas.microsoft.com/office/drawing/2014/main" id="{E60E0868-02BA-2FF4-6D51-4CC4C26CF344}"/>
                  </a:ext>
                </a:extLst>
              </xdr:cNvPr>
              <xdr:cNvSpPr/>
            </xdr:nvSpPr>
            <xdr:spPr>
              <a:xfrm>
                <a:off x="500062" y="4852990"/>
                <a:ext cx="238126" cy="21431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6" name="楕円 55">
                <a:extLst>
                  <a:ext uri="{FF2B5EF4-FFF2-40B4-BE49-F238E27FC236}">
                    <a16:creationId xmlns:a16="http://schemas.microsoft.com/office/drawing/2014/main" id="{5AF32FDF-8F06-D285-2CCB-9C4A66B73F55}"/>
                  </a:ext>
                </a:extLst>
              </xdr:cNvPr>
              <xdr:cNvSpPr/>
            </xdr:nvSpPr>
            <xdr:spPr>
              <a:xfrm flipV="1">
                <a:off x="633412" y="4772025"/>
                <a:ext cx="261937" cy="276224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7" name="楕円 56">
                <a:extLst>
                  <a:ext uri="{FF2B5EF4-FFF2-40B4-BE49-F238E27FC236}">
                    <a16:creationId xmlns:a16="http://schemas.microsoft.com/office/drawing/2014/main" id="{304F2177-E034-7086-527D-AAE609B5952B}"/>
                  </a:ext>
                </a:extLst>
              </xdr:cNvPr>
              <xdr:cNvSpPr/>
            </xdr:nvSpPr>
            <xdr:spPr>
              <a:xfrm rot="20507968">
                <a:off x="735822" y="4633697"/>
                <a:ext cx="252031" cy="218739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8" name="楕円 57">
                <a:extLst>
                  <a:ext uri="{FF2B5EF4-FFF2-40B4-BE49-F238E27FC236}">
                    <a16:creationId xmlns:a16="http://schemas.microsoft.com/office/drawing/2014/main" id="{4FDD37B3-5A43-0A60-1642-B1D4E9478C78}"/>
                  </a:ext>
                </a:extLst>
              </xdr:cNvPr>
              <xdr:cNvSpPr/>
            </xdr:nvSpPr>
            <xdr:spPr>
              <a:xfrm>
                <a:off x="685799" y="4657724"/>
                <a:ext cx="233363" cy="252412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9" name="楕円 58">
                <a:extLst>
                  <a:ext uri="{FF2B5EF4-FFF2-40B4-BE49-F238E27FC236}">
                    <a16:creationId xmlns:a16="http://schemas.microsoft.com/office/drawing/2014/main" id="{6EC496CF-BCFC-1983-DED0-4F44C6C38A1F}"/>
                  </a:ext>
                </a:extLst>
              </xdr:cNvPr>
              <xdr:cNvSpPr/>
            </xdr:nvSpPr>
            <xdr:spPr>
              <a:xfrm>
                <a:off x="547687" y="4738686"/>
                <a:ext cx="247650" cy="223837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0" name="楕円 59">
                <a:extLst>
                  <a:ext uri="{FF2B5EF4-FFF2-40B4-BE49-F238E27FC236}">
                    <a16:creationId xmlns:a16="http://schemas.microsoft.com/office/drawing/2014/main" id="{24BD07E7-7AA2-1CE2-4BEF-D1507D0D081C}"/>
                  </a:ext>
                </a:extLst>
              </xdr:cNvPr>
              <xdr:cNvSpPr/>
            </xdr:nvSpPr>
            <xdr:spPr>
              <a:xfrm>
                <a:off x="490539" y="4562477"/>
                <a:ext cx="323850" cy="26193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1" name="楕円 60">
                <a:extLst>
                  <a:ext uri="{FF2B5EF4-FFF2-40B4-BE49-F238E27FC236}">
                    <a16:creationId xmlns:a16="http://schemas.microsoft.com/office/drawing/2014/main" id="{62E5997A-93C9-9C26-A961-99EC1250699C}"/>
                  </a:ext>
                </a:extLst>
              </xdr:cNvPr>
              <xdr:cNvSpPr/>
            </xdr:nvSpPr>
            <xdr:spPr>
              <a:xfrm rot="633287">
                <a:off x="563599" y="4427710"/>
                <a:ext cx="233134" cy="253673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2" name="楕円 61">
                <a:extLst>
                  <a:ext uri="{FF2B5EF4-FFF2-40B4-BE49-F238E27FC236}">
                    <a16:creationId xmlns:a16="http://schemas.microsoft.com/office/drawing/2014/main" id="{4B7B95F9-A735-DCD8-A847-480CB3DFAE49}"/>
                  </a:ext>
                </a:extLst>
              </xdr:cNvPr>
              <xdr:cNvSpPr/>
            </xdr:nvSpPr>
            <xdr:spPr>
              <a:xfrm>
                <a:off x="695325" y="4519612"/>
                <a:ext cx="323851" cy="23812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63" name="楕円 62">
                <a:extLst>
                  <a:ext uri="{FF2B5EF4-FFF2-40B4-BE49-F238E27FC236}">
                    <a16:creationId xmlns:a16="http://schemas.microsoft.com/office/drawing/2014/main" id="{83D6B2ED-6F8C-2CCC-DA70-17517CBCA618}"/>
                  </a:ext>
                </a:extLst>
              </xdr:cNvPr>
              <xdr:cNvSpPr/>
            </xdr:nvSpPr>
            <xdr:spPr>
              <a:xfrm rot="167871">
                <a:off x="871402" y="4689849"/>
                <a:ext cx="253631" cy="233288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52" name="楕円 51">
              <a:extLst>
                <a:ext uri="{FF2B5EF4-FFF2-40B4-BE49-F238E27FC236}">
                  <a16:creationId xmlns:a16="http://schemas.microsoft.com/office/drawing/2014/main" id="{F227D87F-796E-9CB3-94E2-01FEAA10A1FA}"/>
                </a:ext>
              </a:extLst>
            </xdr:cNvPr>
            <xdr:cNvSpPr/>
          </xdr:nvSpPr>
          <xdr:spPr>
            <a:xfrm rot="633287">
              <a:off x="739812" y="3670470"/>
              <a:ext cx="233134" cy="253673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19</xdr:col>
      <xdr:colOff>28575</xdr:colOff>
      <xdr:row>21</xdr:row>
      <xdr:rowOff>157162</xdr:rowOff>
    </xdr:from>
    <xdr:to>
      <xdr:col>21</xdr:col>
      <xdr:colOff>237583</xdr:colOff>
      <xdr:row>25</xdr:row>
      <xdr:rowOff>9526</xdr:rowOff>
    </xdr:to>
    <xdr:grpSp>
      <xdr:nvGrpSpPr>
        <xdr:cNvPr id="67" name="グループ化 66">
          <a:extLst>
            <a:ext uri="{FF2B5EF4-FFF2-40B4-BE49-F238E27FC236}">
              <a16:creationId xmlns:a16="http://schemas.microsoft.com/office/drawing/2014/main" id="{F6A1B905-A2D5-44EB-B12E-D13DA9625066}"/>
            </a:ext>
          </a:extLst>
        </xdr:cNvPr>
        <xdr:cNvGrpSpPr/>
      </xdr:nvGrpSpPr>
      <xdr:grpSpPr>
        <a:xfrm>
          <a:off x="4713845" y="4913227"/>
          <a:ext cx="685258" cy="753377"/>
          <a:chOff x="454062" y="3948112"/>
          <a:chExt cx="685258" cy="866776"/>
        </a:xfrm>
      </xdr:grpSpPr>
      <xdr:sp macro="" textlink="">
        <xdr:nvSpPr>
          <xdr:cNvPr id="68" name="楕円 67">
            <a:extLst>
              <a:ext uri="{FF2B5EF4-FFF2-40B4-BE49-F238E27FC236}">
                <a16:creationId xmlns:a16="http://schemas.microsoft.com/office/drawing/2014/main" id="{20051B2C-A241-9DE9-6136-263881FAD083}"/>
              </a:ext>
            </a:extLst>
          </xdr:cNvPr>
          <xdr:cNvSpPr/>
        </xdr:nvSpPr>
        <xdr:spPr>
          <a:xfrm>
            <a:off x="890587" y="4029075"/>
            <a:ext cx="200026" cy="252412"/>
          </a:xfrm>
          <a:prstGeom prst="ellipse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69" name="グループ化 68">
            <a:extLst>
              <a:ext uri="{FF2B5EF4-FFF2-40B4-BE49-F238E27FC236}">
                <a16:creationId xmlns:a16="http://schemas.microsoft.com/office/drawing/2014/main" id="{67017A42-9167-BE1C-4E6A-4BE2A2FA9911}"/>
              </a:ext>
            </a:extLst>
          </xdr:cNvPr>
          <xdr:cNvGrpSpPr/>
        </xdr:nvGrpSpPr>
        <xdr:grpSpPr>
          <a:xfrm>
            <a:off x="454062" y="3948112"/>
            <a:ext cx="685258" cy="866776"/>
            <a:chOff x="739812" y="3405187"/>
            <a:chExt cx="685258" cy="866776"/>
          </a:xfrm>
        </xdr:grpSpPr>
        <xdr:sp macro="" textlink="">
          <xdr:nvSpPr>
            <xdr:cNvPr id="70" name="楕円 69">
              <a:extLst>
                <a:ext uri="{FF2B5EF4-FFF2-40B4-BE49-F238E27FC236}">
                  <a16:creationId xmlns:a16="http://schemas.microsoft.com/office/drawing/2014/main" id="{72729B1B-242B-BD14-434E-6511C1026389}"/>
                </a:ext>
              </a:extLst>
            </xdr:cNvPr>
            <xdr:cNvSpPr/>
          </xdr:nvSpPr>
          <xdr:spPr>
            <a:xfrm>
              <a:off x="1071563" y="3405187"/>
              <a:ext cx="247650" cy="223837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71" name="楕円 70">
              <a:extLst>
                <a:ext uri="{FF2B5EF4-FFF2-40B4-BE49-F238E27FC236}">
                  <a16:creationId xmlns:a16="http://schemas.microsoft.com/office/drawing/2014/main" id="{2CE93253-D96C-4518-64C6-15E332B55D21}"/>
                </a:ext>
              </a:extLst>
            </xdr:cNvPr>
            <xdr:cNvSpPr/>
          </xdr:nvSpPr>
          <xdr:spPr>
            <a:xfrm rot="20507968">
              <a:off x="1097771" y="3805022"/>
              <a:ext cx="252031" cy="218739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72" name="グループ化 71">
              <a:extLst>
                <a:ext uri="{FF2B5EF4-FFF2-40B4-BE49-F238E27FC236}">
                  <a16:creationId xmlns:a16="http://schemas.microsoft.com/office/drawing/2014/main" id="{F4E56990-73BB-6A90-B257-6F16A53D6A01}"/>
                </a:ext>
              </a:extLst>
            </xdr:cNvPr>
            <xdr:cNvGrpSpPr/>
          </xdr:nvGrpSpPr>
          <xdr:grpSpPr>
            <a:xfrm>
              <a:off x="790576" y="3422823"/>
              <a:ext cx="634494" cy="849140"/>
              <a:chOff x="490539" y="4427710"/>
              <a:chExt cx="634494" cy="849140"/>
            </a:xfrm>
          </xdr:grpSpPr>
          <xdr:sp macro="" textlink="">
            <xdr:nvSpPr>
              <xdr:cNvPr id="74" name="正方形/長方形 73">
                <a:extLst>
                  <a:ext uri="{FF2B5EF4-FFF2-40B4-BE49-F238E27FC236}">
                    <a16:creationId xmlns:a16="http://schemas.microsoft.com/office/drawing/2014/main" id="{485E9113-07D5-F393-BB57-9FC385B2B41B}"/>
                  </a:ext>
                </a:extLst>
              </xdr:cNvPr>
              <xdr:cNvSpPr/>
            </xdr:nvSpPr>
            <xdr:spPr>
              <a:xfrm>
                <a:off x="723902" y="4795837"/>
                <a:ext cx="123824" cy="481013"/>
              </a:xfrm>
              <a:prstGeom prst="rect">
                <a:avLst/>
              </a:prstGeom>
              <a:solidFill>
                <a:srgbClr val="B5897B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5" name="楕円 74">
                <a:extLst>
                  <a:ext uri="{FF2B5EF4-FFF2-40B4-BE49-F238E27FC236}">
                    <a16:creationId xmlns:a16="http://schemas.microsoft.com/office/drawing/2014/main" id="{EBBDFD3D-026F-8128-3771-72EB8E6454A4}"/>
                  </a:ext>
                </a:extLst>
              </xdr:cNvPr>
              <xdr:cNvSpPr/>
            </xdr:nvSpPr>
            <xdr:spPr>
              <a:xfrm>
                <a:off x="500062" y="4852990"/>
                <a:ext cx="238126" cy="21431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6" name="楕円 75">
                <a:extLst>
                  <a:ext uri="{FF2B5EF4-FFF2-40B4-BE49-F238E27FC236}">
                    <a16:creationId xmlns:a16="http://schemas.microsoft.com/office/drawing/2014/main" id="{3271F80D-4F8D-D8B7-D1F0-04786F0819A0}"/>
                  </a:ext>
                </a:extLst>
              </xdr:cNvPr>
              <xdr:cNvSpPr/>
            </xdr:nvSpPr>
            <xdr:spPr>
              <a:xfrm flipV="1">
                <a:off x="633412" y="4772025"/>
                <a:ext cx="261937" cy="276224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7" name="楕円 76">
                <a:extLst>
                  <a:ext uri="{FF2B5EF4-FFF2-40B4-BE49-F238E27FC236}">
                    <a16:creationId xmlns:a16="http://schemas.microsoft.com/office/drawing/2014/main" id="{2A76A7D7-0ECF-4A2F-9B33-D6400E7EE3E8}"/>
                  </a:ext>
                </a:extLst>
              </xdr:cNvPr>
              <xdr:cNvSpPr/>
            </xdr:nvSpPr>
            <xdr:spPr>
              <a:xfrm rot="20507968">
                <a:off x="735822" y="4633697"/>
                <a:ext cx="252031" cy="218739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8" name="楕円 77">
                <a:extLst>
                  <a:ext uri="{FF2B5EF4-FFF2-40B4-BE49-F238E27FC236}">
                    <a16:creationId xmlns:a16="http://schemas.microsoft.com/office/drawing/2014/main" id="{B1439001-F657-2801-8D97-9BE18E9C05BB}"/>
                  </a:ext>
                </a:extLst>
              </xdr:cNvPr>
              <xdr:cNvSpPr/>
            </xdr:nvSpPr>
            <xdr:spPr>
              <a:xfrm>
                <a:off x="685799" y="4657724"/>
                <a:ext cx="233363" cy="252412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79" name="楕円 78">
                <a:extLst>
                  <a:ext uri="{FF2B5EF4-FFF2-40B4-BE49-F238E27FC236}">
                    <a16:creationId xmlns:a16="http://schemas.microsoft.com/office/drawing/2014/main" id="{59A4A6EC-4968-793D-2E74-B345E6E3D3A6}"/>
                  </a:ext>
                </a:extLst>
              </xdr:cNvPr>
              <xdr:cNvSpPr/>
            </xdr:nvSpPr>
            <xdr:spPr>
              <a:xfrm>
                <a:off x="547687" y="4738686"/>
                <a:ext cx="247650" cy="223837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0" name="楕円 79">
                <a:extLst>
                  <a:ext uri="{FF2B5EF4-FFF2-40B4-BE49-F238E27FC236}">
                    <a16:creationId xmlns:a16="http://schemas.microsoft.com/office/drawing/2014/main" id="{49A441A7-10BE-413F-C097-1CED29ABFEE5}"/>
                  </a:ext>
                </a:extLst>
              </xdr:cNvPr>
              <xdr:cNvSpPr/>
            </xdr:nvSpPr>
            <xdr:spPr>
              <a:xfrm>
                <a:off x="490539" y="4562477"/>
                <a:ext cx="323850" cy="26193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1" name="楕円 80">
                <a:extLst>
                  <a:ext uri="{FF2B5EF4-FFF2-40B4-BE49-F238E27FC236}">
                    <a16:creationId xmlns:a16="http://schemas.microsoft.com/office/drawing/2014/main" id="{58C2B352-74FD-81BB-FF69-F555181773F7}"/>
                  </a:ext>
                </a:extLst>
              </xdr:cNvPr>
              <xdr:cNvSpPr/>
            </xdr:nvSpPr>
            <xdr:spPr>
              <a:xfrm rot="633287">
                <a:off x="563599" y="4427710"/>
                <a:ext cx="233134" cy="253673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2" name="楕円 81">
                <a:extLst>
                  <a:ext uri="{FF2B5EF4-FFF2-40B4-BE49-F238E27FC236}">
                    <a16:creationId xmlns:a16="http://schemas.microsoft.com/office/drawing/2014/main" id="{D826F7FE-B75A-BDF6-C482-0D2DD574404A}"/>
                  </a:ext>
                </a:extLst>
              </xdr:cNvPr>
              <xdr:cNvSpPr/>
            </xdr:nvSpPr>
            <xdr:spPr>
              <a:xfrm>
                <a:off x="695325" y="4519612"/>
                <a:ext cx="323851" cy="23812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83" name="楕円 82">
                <a:extLst>
                  <a:ext uri="{FF2B5EF4-FFF2-40B4-BE49-F238E27FC236}">
                    <a16:creationId xmlns:a16="http://schemas.microsoft.com/office/drawing/2014/main" id="{371A178C-5753-DD16-EF6F-BE175C893A63}"/>
                  </a:ext>
                </a:extLst>
              </xdr:cNvPr>
              <xdr:cNvSpPr/>
            </xdr:nvSpPr>
            <xdr:spPr>
              <a:xfrm rot="167871">
                <a:off x="871402" y="4689849"/>
                <a:ext cx="253631" cy="233288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73" name="楕円 72">
              <a:extLst>
                <a:ext uri="{FF2B5EF4-FFF2-40B4-BE49-F238E27FC236}">
                  <a16:creationId xmlns:a16="http://schemas.microsoft.com/office/drawing/2014/main" id="{0425591F-CD6C-03DF-AD9A-0C66A21A7DC1}"/>
                </a:ext>
              </a:extLst>
            </xdr:cNvPr>
            <xdr:cNvSpPr/>
          </xdr:nvSpPr>
          <xdr:spPr>
            <a:xfrm rot="633287">
              <a:off x="739812" y="3670470"/>
              <a:ext cx="233134" cy="253673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26</xdr:col>
      <xdr:colOff>114300</xdr:colOff>
      <xdr:row>20</xdr:row>
      <xdr:rowOff>209551</xdr:rowOff>
    </xdr:from>
    <xdr:to>
      <xdr:col>28</xdr:col>
      <xdr:colOff>4763</xdr:colOff>
      <xdr:row>25</xdr:row>
      <xdr:rowOff>1</xdr:rowOff>
    </xdr:to>
    <xdr:grpSp>
      <xdr:nvGrpSpPr>
        <xdr:cNvPr id="84" name="グループ化 83">
          <a:extLst>
            <a:ext uri="{FF2B5EF4-FFF2-40B4-BE49-F238E27FC236}">
              <a16:creationId xmlns:a16="http://schemas.microsoft.com/office/drawing/2014/main" id="{D5753E87-7C3A-409B-89B3-825648A47498}"/>
            </a:ext>
          </a:extLst>
        </xdr:cNvPr>
        <xdr:cNvGrpSpPr/>
      </xdr:nvGrpSpPr>
      <xdr:grpSpPr>
        <a:xfrm>
          <a:off x="6466446" y="4740362"/>
          <a:ext cx="366713" cy="916717"/>
          <a:chOff x="454062" y="3948112"/>
          <a:chExt cx="685258" cy="866776"/>
        </a:xfrm>
      </xdr:grpSpPr>
      <xdr:sp macro="" textlink="">
        <xdr:nvSpPr>
          <xdr:cNvPr id="85" name="楕円 84">
            <a:extLst>
              <a:ext uri="{FF2B5EF4-FFF2-40B4-BE49-F238E27FC236}">
                <a16:creationId xmlns:a16="http://schemas.microsoft.com/office/drawing/2014/main" id="{CF01DBA6-C19D-2E7D-F3CB-83DFB1753312}"/>
              </a:ext>
            </a:extLst>
          </xdr:cNvPr>
          <xdr:cNvSpPr/>
        </xdr:nvSpPr>
        <xdr:spPr>
          <a:xfrm>
            <a:off x="890587" y="4029075"/>
            <a:ext cx="200026" cy="252412"/>
          </a:xfrm>
          <a:prstGeom prst="ellipse">
            <a:avLst/>
          </a:prstGeom>
          <a:solidFill>
            <a:schemeClr val="accent6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grpSp>
        <xdr:nvGrpSpPr>
          <xdr:cNvPr id="86" name="グループ化 85">
            <a:extLst>
              <a:ext uri="{FF2B5EF4-FFF2-40B4-BE49-F238E27FC236}">
                <a16:creationId xmlns:a16="http://schemas.microsoft.com/office/drawing/2014/main" id="{5B59F665-FEA8-5B95-1C38-5284E1D38AE5}"/>
              </a:ext>
            </a:extLst>
          </xdr:cNvPr>
          <xdr:cNvGrpSpPr/>
        </xdr:nvGrpSpPr>
        <xdr:grpSpPr>
          <a:xfrm>
            <a:off x="454062" y="3948112"/>
            <a:ext cx="685258" cy="866776"/>
            <a:chOff x="739812" y="3405187"/>
            <a:chExt cx="685258" cy="866776"/>
          </a:xfrm>
        </xdr:grpSpPr>
        <xdr:sp macro="" textlink="">
          <xdr:nvSpPr>
            <xdr:cNvPr id="87" name="楕円 86">
              <a:extLst>
                <a:ext uri="{FF2B5EF4-FFF2-40B4-BE49-F238E27FC236}">
                  <a16:creationId xmlns:a16="http://schemas.microsoft.com/office/drawing/2014/main" id="{4823A6D9-B287-B9F7-EC56-2F28F97E1AA5}"/>
                </a:ext>
              </a:extLst>
            </xdr:cNvPr>
            <xdr:cNvSpPr/>
          </xdr:nvSpPr>
          <xdr:spPr>
            <a:xfrm>
              <a:off x="1071563" y="3405187"/>
              <a:ext cx="247650" cy="223837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88" name="楕円 87">
              <a:extLst>
                <a:ext uri="{FF2B5EF4-FFF2-40B4-BE49-F238E27FC236}">
                  <a16:creationId xmlns:a16="http://schemas.microsoft.com/office/drawing/2014/main" id="{D0EC69E6-E2C9-D829-88CA-4E3CC9887CE0}"/>
                </a:ext>
              </a:extLst>
            </xdr:cNvPr>
            <xdr:cNvSpPr/>
          </xdr:nvSpPr>
          <xdr:spPr>
            <a:xfrm rot="20507968">
              <a:off x="1097771" y="3805022"/>
              <a:ext cx="252031" cy="218739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grpSp>
          <xdr:nvGrpSpPr>
            <xdr:cNvPr id="89" name="グループ化 88">
              <a:extLst>
                <a:ext uri="{FF2B5EF4-FFF2-40B4-BE49-F238E27FC236}">
                  <a16:creationId xmlns:a16="http://schemas.microsoft.com/office/drawing/2014/main" id="{A5511DEA-BB5F-8357-8215-FAE7F839DC03}"/>
                </a:ext>
              </a:extLst>
            </xdr:cNvPr>
            <xdr:cNvGrpSpPr/>
          </xdr:nvGrpSpPr>
          <xdr:grpSpPr>
            <a:xfrm>
              <a:off x="790576" y="3422823"/>
              <a:ext cx="634494" cy="849140"/>
              <a:chOff x="490539" y="4427710"/>
              <a:chExt cx="634494" cy="849140"/>
            </a:xfrm>
          </xdr:grpSpPr>
          <xdr:sp macro="" textlink="">
            <xdr:nvSpPr>
              <xdr:cNvPr id="91" name="正方形/長方形 90">
                <a:extLst>
                  <a:ext uri="{FF2B5EF4-FFF2-40B4-BE49-F238E27FC236}">
                    <a16:creationId xmlns:a16="http://schemas.microsoft.com/office/drawing/2014/main" id="{78B5C198-2297-2F75-EFFF-A964E75FA86E}"/>
                  </a:ext>
                </a:extLst>
              </xdr:cNvPr>
              <xdr:cNvSpPr/>
            </xdr:nvSpPr>
            <xdr:spPr>
              <a:xfrm>
                <a:off x="723902" y="4795837"/>
                <a:ext cx="123824" cy="481013"/>
              </a:xfrm>
              <a:prstGeom prst="rect">
                <a:avLst/>
              </a:prstGeom>
              <a:solidFill>
                <a:srgbClr val="B5897B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2" name="楕円 91">
                <a:extLst>
                  <a:ext uri="{FF2B5EF4-FFF2-40B4-BE49-F238E27FC236}">
                    <a16:creationId xmlns:a16="http://schemas.microsoft.com/office/drawing/2014/main" id="{CA3E8FC6-B707-F119-7851-C5CB60186414}"/>
                  </a:ext>
                </a:extLst>
              </xdr:cNvPr>
              <xdr:cNvSpPr/>
            </xdr:nvSpPr>
            <xdr:spPr>
              <a:xfrm>
                <a:off x="500062" y="4852990"/>
                <a:ext cx="238126" cy="214310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3" name="楕円 92">
                <a:extLst>
                  <a:ext uri="{FF2B5EF4-FFF2-40B4-BE49-F238E27FC236}">
                    <a16:creationId xmlns:a16="http://schemas.microsoft.com/office/drawing/2014/main" id="{96E95A0C-0254-62B6-8C7F-E6C1C598755E}"/>
                  </a:ext>
                </a:extLst>
              </xdr:cNvPr>
              <xdr:cNvSpPr/>
            </xdr:nvSpPr>
            <xdr:spPr>
              <a:xfrm flipV="1">
                <a:off x="633412" y="4772025"/>
                <a:ext cx="261937" cy="276224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4" name="楕円 93">
                <a:extLst>
                  <a:ext uri="{FF2B5EF4-FFF2-40B4-BE49-F238E27FC236}">
                    <a16:creationId xmlns:a16="http://schemas.microsoft.com/office/drawing/2014/main" id="{2F7F79A9-C33D-3A0B-ED37-23F0E196D197}"/>
                  </a:ext>
                </a:extLst>
              </xdr:cNvPr>
              <xdr:cNvSpPr/>
            </xdr:nvSpPr>
            <xdr:spPr>
              <a:xfrm rot="20507968">
                <a:off x="735822" y="4633697"/>
                <a:ext cx="252031" cy="218739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5" name="楕円 94">
                <a:extLst>
                  <a:ext uri="{FF2B5EF4-FFF2-40B4-BE49-F238E27FC236}">
                    <a16:creationId xmlns:a16="http://schemas.microsoft.com/office/drawing/2014/main" id="{867875F9-76D0-5967-0B6A-98B546985CAE}"/>
                  </a:ext>
                </a:extLst>
              </xdr:cNvPr>
              <xdr:cNvSpPr/>
            </xdr:nvSpPr>
            <xdr:spPr>
              <a:xfrm>
                <a:off x="685799" y="4657724"/>
                <a:ext cx="233363" cy="252412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6" name="楕円 95">
                <a:extLst>
                  <a:ext uri="{FF2B5EF4-FFF2-40B4-BE49-F238E27FC236}">
                    <a16:creationId xmlns:a16="http://schemas.microsoft.com/office/drawing/2014/main" id="{BB6AD1EA-EE29-407D-5332-660889A1FF74}"/>
                  </a:ext>
                </a:extLst>
              </xdr:cNvPr>
              <xdr:cNvSpPr/>
            </xdr:nvSpPr>
            <xdr:spPr>
              <a:xfrm>
                <a:off x="547687" y="4738686"/>
                <a:ext cx="247650" cy="223837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7" name="楕円 96">
                <a:extLst>
                  <a:ext uri="{FF2B5EF4-FFF2-40B4-BE49-F238E27FC236}">
                    <a16:creationId xmlns:a16="http://schemas.microsoft.com/office/drawing/2014/main" id="{EBAF2500-E9D5-1E12-817C-FC06AB19FA27}"/>
                  </a:ext>
                </a:extLst>
              </xdr:cNvPr>
              <xdr:cNvSpPr/>
            </xdr:nvSpPr>
            <xdr:spPr>
              <a:xfrm>
                <a:off x="490539" y="4562477"/>
                <a:ext cx="323850" cy="26193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8" name="楕円 97">
                <a:extLst>
                  <a:ext uri="{FF2B5EF4-FFF2-40B4-BE49-F238E27FC236}">
                    <a16:creationId xmlns:a16="http://schemas.microsoft.com/office/drawing/2014/main" id="{E4D39B57-085A-850B-E9FA-29F603B6A36F}"/>
                  </a:ext>
                </a:extLst>
              </xdr:cNvPr>
              <xdr:cNvSpPr/>
            </xdr:nvSpPr>
            <xdr:spPr>
              <a:xfrm rot="633287">
                <a:off x="563599" y="4427710"/>
                <a:ext cx="233134" cy="253673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99" name="楕円 98">
                <a:extLst>
                  <a:ext uri="{FF2B5EF4-FFF2-40B4-BE49-F238E27FC236}">
                    <a16:creationId xmlns:a16="http://schemas.microsoft.com/office/drawing/2014/main" id="{994EC45C-975E-2DC4-D4E6-5879EF20169F}"/>
                  </a:ext>
                </a:extLst>
              </xdr:cNvPr>
              <xdr:cNvSpPr/>
            </xdr:nvSpPr>
            <xdr:spPr>
              <a:xfrm>
                <a:off x="695325" y="4519612"/>
                <a:ext cx="323851" cy="238125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100" name="楕円 99">
                <a:extLst>
                  <a:ext uri="{FF2B5EF4-FFF2-40B4-BE49-F238E27FC236}">
                    <a16:creationId xmlns:a16="http://schemas.microsoft.com/office/drawing/2014/main" id="{6539D54D-4C42-209A-00C9-080D756B73A8}"/>
                  </a:ext>
                </a:extLst>
              </xdr:cNvPr>
              <xdr:cNvSpPr/>
            </xdr:nvSpPr>
            <xdr:spPr>
              <a:xfrm rot="167871">
                <a:off x="871402" y="4689849"/>
                <a:ext cx="253631" cy="233288"/>
              </a:xfrm>
              <a:prstGeom prst="ellipse">
                <a:avLst/>
              </a:prstGeom>
              <a:solidFill>
                <a:schemeClr val="accent6">
                  <a:lumMod val="7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sp macro="" textlink="">
          <xdr:nvSpPr>
            <xdr:cNvPr id="90" name="楕円 89">
              <a:extLst>
                <a:ext uri="{FF2B5EF4-FFF2-40B4-BE49-F238E27FC236}">
                  <a16:creationId xmlns:a16="http://schemas.microsoft.com/office/drawing/2014/main" id="{26823F8F-242A-9FEF-B6E8-886E1182756E}"/>
                </a:ext>
              </a:extLst>
            </xdr:cNvPr>
            <xdr:cNvSpPr/>
          </xdr:nvSpPr>
          <xdr:spPr>
            <a:xfrm rot="633287">
              <a:off x="739812" y="3670470"/>
              <a:ext cx="233134" cy="253673"/>
            </a:xfrm>
            <a:prstGeom prst="ellipse">
              <a:avLst/>
            </a:prstGeom>
            <a:solidFill>
              <a:schemeClr val="accent6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8</xdr:col>
      <xdr:colOff>228600</xdr:colOff>
      <xdr:row>25</xdr:row>
      <xdr:rowOff>166688</xdr:rowOff>
    </xdr:from>
    <xdr:to>
      <xdr:col>15</xdr:col>
      <xdr:colOff>238124</xdr:colOff>
      <xdr:row>26</xdr:row>
      <xdr:rowOff>200025</xdr:rowOff>
    </xdr:to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BC9C0601-3A5D-3CF3-C35B-130C0BEE0282}"/>
            </a:ext>
          </a:extLst>
        </xdr:cNvPr>
        <xdr:cNvSpPr txBox="1"/>
      </xdr:nvSpPr>
      <xdr:spPr>
        <a:xfrm>
          <a:off x="2295525" y="5791201"/>
          <a:ext cx="1676399" cy="257174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1050" b="1"/>
            <a:t>弱　⇔　強　⇔　弱</a:t>
          </a:r>
        </a:p>
      </xdr:txBody>
    </xdr:sp>
    <xdr:clientData/>
  </xdr:twoCellAnchor>
  <xdr:twoCellAnchor>
    <xdr:from>
      <xdr:col>19</xdr:col>
      <xdr:colOff>167177</xdr:colOff>
      <xdr:row>24</xdr:row>
      <xdr:rowOff>70460</xdr:rowOff>
    </xdr:from>
    <xdr:to>
      <xdr:col>24</xdr:col>
      <xdr:colOff>24301</xdr:colOff>
      <xdr:row>29</xdr:row>
      <xdr:rowOff>101111</xdr:rowOff>
    </xdr:to>
    <xdr:grpSp>
      <xdr:nvGrpSpPr>
        <xdr:cNvPr id="108" name="グループ化 107">
          <a:extLst>
            <a:ext uri="{FF2B5EF4-FFF2-40B4-BE49-F238E27FC236}">
              <a16:creationId xmlns:a16="http://schemas.microsoft.com/office/drawing/2014/main" id="{135DF3FD-E328-634A-87CB-E671EE221435}"/>
            </a:ext>
          </a:extLst>
        </xdr:cNvPr>
        <xdr:cNvGrpSpPr/>
      </xdr:nvGrpSpPr>
      <xdr:grpSpPr>
        <a:xfrm>
          <a:off x="4852447" y="5502284"/>
          <a:ext cx="1047750" cy="1156919"/>
          <a:chOff x="328613" y="4329112"/>
          <a:chExt cx="1047749" cy="1147763"/>
        </a:xfrm>
      </xdr:grpSpPr>
      <xdr:sp macro="" textlink="">
        <xdr:nvSpPr>
          <xdr:cNvPr id="103" name="楕円 102">
            <a:extLst>
              <a:ext uri="{FF2B5EF4-FFF2-40B4-BE49-F238E27FC236}">
                <a16:creationId xmlns:a16="http://schemas.microsoft.com/office/drawing/2014/main" id="{52172F69-5CC0-E528-D009-62E50D270112}"/>
              </a:ext>
            </a:extLst>
          </xdr:cNvPr>
          <xdr:cNvSpPr/>
        </xdr:nvSpPr>
        <xdr:spPr>
          <a:xfrm>
            <a:off x="847727" y="4581526"/>
            <a:ext cx="423862" cy="433388"/>
          </a:xfrm>
          <a:prstGeom prst="ellipse">
            <a:avLst/>
          </a:prstGeom>
          <a:solidFill>
            <a:schemeClr val="accent2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4" name="円弧 103">
            <a:extLst>
              <a:ext uri="{FF2B5EF4-FFF2-40B4-BE49-F238E27FC236}">
                <a16:creationId xmlns:a16="http://schemas.microsoft.com/office/drawing/2014/main" id="{B0406ABA-088A-138F-DCD2-F0E946428013}"/>
              </a:ext>
            </a:extLst>
          </xdr:cNvPr>
          <xdr:cNvSpPr/>
        </xdr:nvSpPr>
        <xdr:spPr>
          <a:xfrm>
            <a:off x="890587" y="4657725"/>
            <a:ext cx="47625" cy="633413"/>
          </a:xfrm>
          <a:prstGeom prst="arc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5" name="円弧 104">
            <a:extLst>
              <a:ext uri="{FF2B5EF4-FFF2-40B4-BE49-F238E27FC236}">
                <a16:creationId xmlns:a16="http://schemas.microsoft.com/office/drawing/2014/main" id="{5B17BA81-593F-43DC-A6D5-62A3F40AB167}"/>
              </a:ext>
            </a:extLst>
          </xdr:cNvPr>
          <xdr:cNvSpPr/>
        </xdr:nvSpPr>
        <xdr:spPr>
          <a:xfrm rot="10800000">
            <a:off x="1176337" y="4329112"/>
            <a:ext cx="47625" cy="633413"/>
          </a:xfrm>
          <a:prstGeom prst="arc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6" name="円弧 105">
            <a:extLst>
              <a:ext uri="{FF2B5EF4-FFF2-40B4-BE49-F238E27FC236}">
                <a16:creationId xmlns:a16="http://schemas.microsoft.com/office/drawing/2014/main" id="{DFF4CBB0-F218-4AA4-B165-4965930BBFB1}"/>
              </a:ext>
            </a:extLst>
          </xdr:cNvPr>
          <xdr:cNvSpPr/>
        </xdr:nvSpPr>
        <xdr:spPr>
          <a:xfrm>
            <a:off x="328613" y="4814888"/>
            <a:ext cx="1047749" cy="128587"/>
          </a:xfrm>
          <a:prstGeom prst="arc">
            <a:avLst>
              <a:gd name="adj1" fmla="val 16200000"/>
              <a:gd name="adj2" fmla="val 21287475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07" name="円弧 106">
            <a:extLst>
              <a:ext uri="{FF2B5EF4-FFF2-40B4-BE49-F238E27FC236}">
                <a16:creationId xmlns:a16="http://schemas.microsoft.com/office/drawing/2014/main" id="{D30D02C1-44E4-4C72-BDD7-29AFA1602227}"/>
              </a:ext>
            </a:extLst>
          </xdr:cNvPr>
          <xdr:cNvSpPr/>
        </xdr:nvSpPr>
        <xdr:spPr>
          <a:xfrm>
            <a:off x="1009650" y="4591051"/>
            <a:ext cx="57150" cy="885824"/>
          </a:xfrm>
          <a:prstGeom prst="arc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38</xdr:col>
      <xdr:colOff>194860</xdr:colOff>
      <xdr:row>19</xdr:row>
      <xdr:rowOff>103437</xdr:rowOff>
    </xdr:from>
    <xdr:to>
      <xdr:col>39</xdr:col>
      <xdr:colOff>232301</xdr:colOff>
      <xdr:row>21</xdr:row>
      <xdr:rowOff>165782</xdr:rowOff>
    </xdr:to>
    <xdr:grpSp>
      <xdr:nvGrpSpPr>
        <xdr:cNvPr id="121" name="グループ化 120">
          <a:extLst>
            <a:ext uri="{FF2B5EF4-FFF2-40B4-BE49-F238E27FC236}">
              <a16:creationId xmlns:a16="http://schemas.microsoft.com/office/drawing/2014/main" id="{B070B36B-75C7-E0F9-B561-374ECBC2D38E}"/>
            </a:ext>
          </a:extLst>
        </xdr:cNvPr>
        <xdr:cNvGrpSpPr/>
      </xdr:nvGrpSpPr>
      <xdr:grpSpPr>
        <a:xfrm>
          <a:off x="9404506" y="4408995"/>
          <a:ext cx="275565" cy="512852"/>
          <a:chOff x="10424173" y="4037531"/>
          <a:chExt cx="275566" cy="511764"/>
        </a:xfrm>
      </xdr:grpSpPr>
      <xdr:grpSp>
        <xdr:nvGrpSpPr>
          <xdr:cNvPr id="118" name="グループ化 117">
            <a:extLst>
              <a:ext uri="{FF2B5EF4-FFF2-40B4-BE49-F238E27FC236}">
                <a16:creationId xmlns:a16="http://schemas.microsoft.com/office/drawing/2014/main" id="{359745CC-C9DA-2A84-0285-46318F39ECF1}"/>
              </a:ext>
            </a:extLst>
          </xdr:cNvPr>
          <xdr:cNvGrpSpPr/>
        </xdr:nvGrpSpPr>
        <xdr:grpSpPr>
          <a:xfrm>
            <a:off x="10424173" y="4037531"/>
            <a:ext cx="274683" cy="511764"/>
            <a:chOff x="10425112" y="4024313"/>
            <a:chExt cx="274683" cy="509587"/>
          </a:xfrm>
        </xdr:grpSpPr>
        <xdr:sp macro="" textlink="">
          <xdr:nvSpPr>
            <xdr:cNvPr id="115" name="正方形/長方形 114">
              <a:extLst>
                <a:ext uri="{FF2B5EF4-FFF2-40B4-BE49-F238E27FC236}">
                  <a16:creationId xmlns:a16="http://schemas.microsoft.com/office/drawing/2014/main" id="{259A5E07-C6FD-6EB8-CDE8-60ACCD8E4CE7}"/>
                </a:ext>
              </a:extLst>
            </xdr:cNvPr>
            <xdr:cNvSpPr/>
          </xdr:nvSpPr>
          <xdr:spPr>
            <a:xfrm>
              <a:off x="10425112" y="4024313"/>
              <a:ext cx="271462" cy="50958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16" name="正方形/長方形 115">
              <a:extLst>
                <a:ext uri="{FF2B5EF4-FFF2-40B4-BE49-F238E27FC236}">
                  <a16:creationId xmlns:a16="http://schemas.microsoft.com/office/drawing/2014/main" id="{297F7CD0-E2AD-704E-C430-9D7FEA348464}"/>
                </a:ext>
              </a:extLst>
            </xdr:cNvPr>
            <xdr:cNvSpPr/>
          </xdr:nvSpPr>
          <xdr:spPr>
            <a:xfrm>
              <a:off x="10438529" y="4039635"/>
              <a:ext cx="261266" cy="45525"/>
            </a:xfrm>
            <a:prstGeom prst="rect">
              <a:avLst/>
            </a:prstGeom>
            <a:solidFill>
              <a:schemeClr val="accent2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  <xdr:sp macro="" textlink="">
          <xdr:nvSpPr>
            <xdr:cNvPr id="117" name="正方形/長方形 116">
              <a:extLst>
                <a:ext uri="{FF2B5EF4-FFF2-40B4-BE49-F238E27FC236}">
                  <a16:creationId xmlns:a16="http://schemas.microsoft.com/office/drawing/2014/main" id="{4B802062-0050-C335-0562-33D1A71360AF}"/>
                </a:ext>
              </a:extLst>
            </xdr:cNvPr>
            <xdr:cNvSpPr/>
          </xdr:nvSpPr>
          <xdr:spPr>
            <a:xfrm>
              <a:off x="10465547" y="4341366"/>
              <a:ext cx="45719" cy="190500"/>
            </a:xfrm>
            <a:prstGeom prst="rect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119" name="正方形/長方形 118">
            <a:extLst>
              <a:ext uri="{FF2B5EF4-FFF2-40B4-BE49-F238E27FC236}">
                <a16:creationId xmlns:a16="http://schemas.microsoft.com/office/drawing/2014/main" id="{C97910A0-C419-410C-8BC2-DB801B30B798}"/>
              </a:ext>
            </a:extLst>
          </xdr:cNvPr>
          <xdr:cNvSpPr/>
        </xdr:nvSpPr>
        <xdr:spPr>
          <a:xfrm>
            <a:off x="10571932" y="4259419"/>
            <a:ext cx="45719" cy="284687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20" name="正方形/長方形 119">
            <a:extLst>
              <a:ext uri="{FF2B5EF4-FFF2-40B4-BE49-F238E27FC236}">
                <a16:creationId xmlns:a16="http://schemas.microsoft.com/office/drawing/2014/main" id="{91EACF5C-3312-4EC6-8670-E44A1C58D573}"/>
              </a:ext>
            </a:extLst>
          </xdr:cNvPr>
          <xdr:cNvSpPr/>
        </xdr:nvSpPr>
        <xdr:spPr>
          <a:xfrm flipH="1">
            <a:off x="10654020" y="4343266"/>
            <a:ext cx="45719" cy="19131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40</xdr:col>
      <xdr:colOff>23813</xdr:colOff>
      <xdr:row>19</xdr:row>
      <xdr:rowOff>109537</xdr:rowOff>
    </xdr:from>
    <xdr:to>
      <xdr:col>44</xdr:col>
      <xdr:colOff>0</xdr:colOff>
      <xdr:row>21</xdr:row>
      <xdr:rowOff>57150</xdr:rowOff>
    </xdr:to>
    <xdr:grpSp>
      <xdr:nvGrpSpPr>
        <xdr:cNvPr id="122" name="グループ化 121">
          <a:extLst>
            <a:ext uri="{FF2B5EF4-FFF2-40B4-BE49-F238E27FC236}">
              <a16:creationId xmlns:a16="http://schemas.microsoft.com/office/drawing/2014/main" id="{505D33D7-84CC-4D37-AA25-EA4E38340B9C}"/>
            </a:ext>
          </a:extLst>
        </xdr:cNvPr>
        <xdr:cNvGrpSpPr/>
      </xdr:nvGrpSpPr>
      <xdr:grpSpPr>
        <a:xfrm>
          <a:off x="9709709" y="4415095"/>
          <a:ext cx="928687" cy="398120"/>
          <a:chOff x="1176338" y="1633537"/>
          <a:chExt cx="1328736" cy="395288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24" name="下矢印 4">
            <a:extLst>
              <a:ext uri="{FF2B5EF4-FFF2-40B4-BE49-F238E27FC236}">
                <a16:creationId xmlns:a16="http://schemas.microsoft.com/office/drawing/2014/main" id="{ABB8B8C7-6C1E-32F0-F172-B58EDEB65E34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5400000">
            <a:off x="1366838" y="1538288"/>
            <a:ext cx="152400" cy="533400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23" name="角丸四角形 3">
            <a:extLst>
              <a:ext uri="{FF2B5EF4-FFF2-40B4-BE49-F238E27FC236}">
                <a16:creationId xmlns:a16="http://schemas.microsoft.com/office/drawing/2014/main" id="{84B218BB-267C-F472-F6A7-23E3D8C6CF1A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508521" y="1633537"/>
            <a:ext cx="996553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ゴール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22</xdr:col>
      <xdr:colOff>212468</xdr:colOff>
      <xdr:row>28</xdr:row>
      <xdr:rowOff>212068</xdr:rowOff>
    </xdr:from>
    <xdr:to>
      <xdr:col>25</xdr:col>
      <xdr:colOff>180975</xdr:colOff>
      <xdr:row>31</xdr:row>
      <xdr:rowOff>52389</xdr:rowOff>
    </xdr:to>
    <xdr:grpSp>
      <xdr:nvGrpSpPr>
        <xdr:cNvPr id="125" name="グループ化 124">
          <a:extLst>
            <a:ext uri="{FF2B5EF4-FFF2-40B4-BE49-F238E27FC236}">
              <a16:creationId xmlns:a16="http://schemas.microsoft.com/office/drawing/2014/main" id="{5D6C2C83-F22C-47C2-A33C-7AB9DB35C3F5}"/>
            </a:ext>
          </a:extLst>
        </xdr:cNvPr>
        <xdr:cNvGrpSpPr/>
      </xdr:nvGrpSpPr>
      <xdr:grpSpPr>
        <a:xfrm>
          <a:off x="5612114" y="6544906"/>
          <a:ext cx="682881" cy="516082"/>
          <a:chOff x="1103694" y="1000668"/>
          <a:chExt cx="1002758" cy="615684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26" name="下矢印 4">
            <a:extLst>
              <a:ext uri="{FF2B5EF4-FFF2-40B4-BE49-F238E27FC236}">
                <a16:creationId xmlns:a16="http://schemas.microsoft.com/office/drawing/2014/main" id="{27274ED5-3A88-8075-08B2-01E252A5CDC8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9728405">
            <a:off x="1103694" y="1000668"/>
            <a:ext cx="220263" cy="397073"/>
          </a:xfrm>
          <a:prstGeom prst="downArrow">
            <a:avLst>
              <a:gd name="adj1" fmla="val 31990"/>
              <a:gd name="adj2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27" name="角丸四角形 3">
            <a:extLst>
              <a:ext uri="{FF2B5EF4-FFF2-40B4-BE49-F238E27FC236}">
                <a16:creationId xmlns:a16="http://schemas.microsoft.com/office/drawing/2014/main" id="{71C8F9E4-1DA6-12EE-D336-517667FAF84C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109899" y="1221064"/>
            <a:ext cx="996553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ボール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2</xdr:col>
      <xdr:colOff>42862</xdr:colOff>
      <xdr:row>19</xdr:row>
      <xdr:rowOff>219074</xdr:rowOff>
    </xdr:from>
    <xdr:to>
      <xdr:col>11</xdr:col>
      <xdr:colOff>47628</xdr:colOff>
      <xdr:row>21</xdr:row>
      <xdr:rowOff>166687</xdr:rowOff>
    </xdr:to>
    <xdr:grpSp>
      <xdr:nvGrpSpPr>
        <xdr:cNvPr id="133" name="グループ化 132">
          <a:extLst>
            <a:ext uri="{FF2B5EF4-FFF2-40B4-BE49-F238E27FC236}">
              <a16:creationId xmlns:a16="http://schemas.microsoft.com/office/drawing/2014/main" id="{CCAE8AB7-0BB7-4882-8C9A-BACA9D8B21C6}"/>
            </a:ext>
          </a:extLst>
        </xdr:cNvPr>
        <xdr:cNvGrpSpPr/>
      </xdr:nvGrpSpPr>
      <xdr:grpSpPr>
        <a:xfrm>
          <a:off x="680008" y="4524632"/>
          <a:ext cx="2147890" cy="398120"/>
          <a:chOff x="1466849" y="1262062"/>
          <a:chExt cx="2147891" cy="395288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34" name="角丸四角形 3">
            <a:extLst>
              <a:ext uri="{FF2B5EF4-FFF2-40B4-BE49-F238E27FC236}">
                <a16:creationId xmlns:a16="http://schemas.microsoft.com/office/drawing/2014/main" id="{E1623A8E-F313-A2F1-6D75-10906B88759F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466849" y="126206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　角度決定</a:t>
            </a:r>
            <a:endParaRPr lang="en-US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5" name="下矢印 4">
            <a:extLst>
              <a:ext uri="{FF2B5EF4-FFF2-40B4-BE49-F238E27FC236}">
                <a16:creationId xmlns:a16="http://schemas.microsoft.com/office/drawing/2014/main" id="{950B1BE2-FDC6-D76F-9671-C7C1D952E7F6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6200000">
            <a:off x="2928965" y="814416"/>
            <a:ext cx="118155" cy="1253394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</xdr:grpSp>
    <xdr:clientData/>
  </xdr:twoCellAnchor>
  <xdr:twoCellAnchor>
    <xdr:from>
      <xdr:col>24</xdr:col>
      <xdr:colOff>123826</xdr:colOff>
      <xdr:row>14</xdr:row>
      <xdr:rowOff>61913</xdr:rowOff>
    </xdr:from>
    <xdr:to>
      <xdr:col>25</xdr:col>
      <xdr:colOff>166688</xdr:colOff>
      <xdr:row>15</xdr:row>
      <xdr:rowOff>128588</xdr:rowOff>
    </xdr:to>
    <xdr:grpSp>
      <xdr:nvGrpSpPr>
        <xdr:cNvPr id="138" name="グループ化 137">
          <a:extLst>
            <a:ext uri="{FF2B5EF4-FFF2-40B4-BE49-F238E27FC236}">
              <a16:creationId xmlns:a16="http://schemas.microsoft.com/office/drawing/2014/main" id="{451FF472-B582-FCA9-FEEC-A9774DD0EE35}"/>
            </a:ext>
          </a:extLst>
        </xdr:cNvPr>
        <xdr:cNvGrpSpPr/>
      </xdr:nvGrpSpPr>
      <xdr:grpSpPr>
        <a:xfrm>
          <a:off x="5999722" y="3241204"/>
          <a:ext cx="280986" cy="291929"/>
          <a:chOff x="852488" y="5648325"/>
          <a:chExt cx="280987" cy="290513"/>
        </a:xfrm>
      </xdr:grpSpPr>
      <xdr:sp macro="" textlink="">
        <xdr:nvSpPr>
          <xdr:cNvPr id="136" name="楕円 135">
            <a:extLst>
              <a:ext uri="{FF2B5EF4-FFF2-40B4-BE49-F238E27FC236}">
                <a16:creationId xmlns:a16="http://schemas.microsoft.com/office/drawing/2014/main" id="{F26B84FF-5866-83E5-8F0B-0E59971501BC}"/>
              </a:ext>
            </a:extLst>
          </xdr:cNvPr>
          <xdr:cNvSpPr/>
        </xdr:nvSpPr>
        <xdr:spPr>
          <a:xfrm>
            <a:off x="852488" y="5648325"/>
            <a:ext cx="280987" cy="290513"/>
          </a:xfrm>
          <a:prstGeom prst="ellipse">
            <a:avLst/>
          </a:prstGeom>
          <a:solidFill>
            <a:srgbClr val="C5E0B4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137" name="十字形 136">
            <a:extLst>
              <a:ext uri="{FF2B5EF4-FFF2-40B4-BE49-F238E27FC236}">
                <a16:creationId xmlns:a16="http://schemas.microsoft.com/office/drawing/2014/main" id="{5DA9D9D6-8111-DEC3-F451-71E67102FA49}"/>
              </a:ext>
            </a:extLst>
          </xdr:cNvPr>
          <xdr:cNvSpPr/>
        </xdr:nvSpPr>
        <xdr:spPr>
          <a:xfrm>
            <a:off x="909638" y="5710237"/>
            <a:ext cx="185737" cy="166687"/>
          </a:xfrm>
          <a:prstGeom prst="plus">
            <a:avLst>
              <a:gd name="adj" fmla="val 44231"/>
            </a:avLst>
          </a:prstGeom>
          <a:solidFill>
            <a:schemeClr val="accent6">
              <a:lumMod val="75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26</xdr:col>
      <xdr:colOff>73506</xdr:colOff>
      <xdr:row>8</xdr:row>
      <xdr:rowOff>0</xdr:rowOff>
    </xdr:from>
    <xdr:to>
      <xdr:col>31</xdr:col>
      <xdr:colOff>228600</xdr:colOff>
      <xdr:row>14</xdr:row>
      <xdr:rowOff>107784</xdr:rowOff>
    </xdr:to>
    <xdr:grpSp>
      <xdr:nvGrpSpPr>
        <xdr:cNvPr id="139" name="グループ化 138">
          <a:extLst>
            <a:ext uri="{FF2B5EF4-FFF2-40B4-BE49-F238E27FC236}">
              <a16:creationId xmlns:a16="http://schemas.microsoft.com/office/drawing/2014/main" id="{AF2A4CC7-D33B-495B-888A-852935214C93}"/>
            </a:ext>
          </a:extLst>
        </xdr:cNvPr>
        <xdr:cNvGrpSpPr/>
      </xdr:nvGrpSpPr>
      <xdr:grpSpPr>
        <a:xfrm>
          <a:off x="6425652" y="1802027"/>
          <a:ext cx="1345718" cy="1485048"/>
          <a:chOff x="1521305" y="1852612"/>
          <a:chExt cx="1345719" cy="1479384"/>
        </a:xfrm>
        <a:solidFill>
          <a:schemeClr val="accent6">
            <a:lumMod val="40000"/>
            <a:lumOff val="60000"/>
          </a:schemeClr>
        </a:solidFill>
      </xdr:grpSpPr>
      <xdr:sp macro="" textlink="">
        <xdr:nvSpPr>
          <xdr:cNvPr id="141" name="下矢印 4">
            <a:extLst>
              <a:ext uri="{FF2B5EF4-FFF2-40B4-BE49-F238E27FC236}">
                <a16:creationId xmlns:a16="http://schemas.microsoft.com/office/drawing/2014/main" id="{F8984ED5-1A96-E17A-E18A-626413E3EB3F}"/>
              </a:ext>
              <a:ext uri="{147F2762-F138-4A5C-976F-8EAC2B608ADB}">
                <a16:predDERef xmlns:a16="http://schemas.microsoft.com/office/drawing/2014/main" pred="{B5A30BF0-91B3-B4BF-739C-0C82B0180F93}"/>
              </a:ext>
            </a:extLst>
          </xdr:cNvPr>
          <xdr:cNvSpPr/>
        </xdr:nvSpPr>
        <xdr:spPr>
          <a:xfrm rot="1349807">
            <a:off x="1521305" y="1906160"/>
            <a:ext cx="105554" cy="1425836"/>
          </a:xfrm>
          <a:prstGeom prst="downArrow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/>
          </a:p>
        </xdr:txBody>
      </xdr:sp>
      <xdr:sp macro="" textlink="">
        <xdr:nvSpPr>
          <xdr:cNvPr id="140" name="角丸四角形 3">
            <a:extLst>
              <a:ext uri="{FF2B5EF4-FFF2-40B4-BE49-F238E27FC236}">
                <a16:creationId xmlns:a16="http://schemas.microsoft.com/office/drawing/2014/main" id="{53DA099F-900E-4BED-2A06-02406CF1A086}"/>
              </a:ext>
              <a:ext uri="{147F2762-F138-4A5C-976F-8EAC2B608ADB}">
                <a16:predDERef xmlns:a16="http://schemas.microsoft.com/office/drawing/2014/main" pred="{C41462E9-068A-DB4A-2124-4A923AB40DD9}"/>
              </a:ext>
            </a:extLst>
          </xdr:cNvPr>
          <xdr:cNvSpPr/>
        </xdr:nvSpPr>
        <xdr:spPr>
          <a:xfrm>
            <a:off x="1685924" y="1852612"/>
            <a:ext cx="1181100" cy="395288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ja-JP" altLang="en-US">
                <a:solidFill>
                  <a:sysClr val="windowText" lastClr="000000"/>
                </a:solidFill>
              </a:rPr>
              <a:t>回復アイテム</a:t>
            </a:r>
            <a:endParaRPr lang="en-US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11</xdr:col>
      <xdr:colOff>125964</xdr:colOff>
      <xdr:row>19</xdr:row>
      <xdr:rowOff>212381</xdr:rowOff>
    </xdr:from>
    <xdr:to>
      <xdr:col>12</xdr:col>
      <xdr:colOff>148023</xdr:colOff>
      <xdr:row>20</xdr:row>
      <xdr:rowOff>190436</xdr:rowOff>
    </xdr:to>
    <xdr:cxnSp macro="">
      <xdr:nvCxnSpPr>
        <xdr:cNvPr id="129" name="直線コネクタ 128">
          <a:extLst>
            <a:ext uri="{FF2B5EF4-FFF2-40B4-BE49-F238E27FC236}">
              <a16:creationId xmlns:a16="http://schemas.microsoft.com/office/drawing/2014/main" id="{517B473C-AAD9-4DCD-BA2A-DFEEE72C94B9}"/>
            </a:ext>
            <a:ext uri="{147F2762-F138-4A5C-976F-8EAC2B608ADB}">
              <a16:predDERef xmlns:a16="http://schemas.microsoft.com/office/drawing/2014/main" pred="{3535CC95-D209-4919-A337-57A5F85E8B34}"/>
            </a:ext>
          </a:extLst>
        </xdr:cNvPr>
        <xdr:cNvCxnSpPr>
          <a:cxnSpLocks/>
        </xdr:cNvCxnSpPr>
      </xdr:nvCxnSpPr>
      <xdr:spPr>
        <a:xfrm flipV="1">
          <a:off x="2906234" y="4517939"/>
          <a:ext cx="260185" cy="203308"/>
        </a:xfrm>
        <a:prstGeom prst="line">
          <a:avLst/>
        </a:prstGeom>
        <a:ln w="381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&#12471;&#12490;&#12522;&#12458;&#27969;&#12428;.txt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D21"/>
  <sheetViews>
    <sheetView zoomScaleNormal="100" workbookViewId="0">
      <selection activeCell="C1" sqref="C1:D1"/>
    </sheetView>
  </sheetViews>
  <sheetFormatPr defaultRowHeight="17.649999999999999"/>
  <cols>
    <col min="1" max="1" width="3.75" customWidth="1"/>
    <col min="2" max="2" width="3.5" style="5" bestFit="1" customWidth="1"/>
    <col min="3" max="3" width="17.375" bestFit="1" customWidth="1"/>
    <col min="4" max="4" width="75.5" bestFit="1" customWidth="1"/>
  </cols>
  <sheetData>
    <row r="1" spans="2:4" s="63" customFormat="1">
      <c r="B1" s="62"/>
      <c r="C1" s="120" t="s">
        <v>138</v>
      </c>
      <c r="D1" s="121"/>
    </row>
    <row r="3" spans="2:4">
      <c r="B3" s="119" t="s">
        <v>0</v>
      </c>
      <c r="C3" s="119"/>
      <c r="D3" s="66"/>
    </row>
    <row r="4" spans="2:4">
      <c r="B4" s="7" t="str">
        <f>IF(C4="","","・")</f>
        <v>・</v>
      </c>
      <c r="C4" s="67" t="s">
        <v>1</v>
      </c>
      <c r="D4" s="4" t="s">
        <v>2</v>
      </c>
    </row>
    <row r="5" spans="2:4">
      <c r="B5" s="7" t="str">
        <f>IF(C5="","","・")</f>
        <v>・</v>
      </c>
      <c r="C5" s="67" t="s">
        <v>3</v>
      </c>
      <c r="D5" s="4" t="s">
        <v>4</v>
      </c>
    </row>
    <row r="6" spans="2:4">
      <c r="B6" s="7" t="str">
        <f t="shared" ref="B6:B21" si="0">IF(C6="","","・")</f>
        <v>・</v>
      </c>
      <c r="C6" s="67" t="s">
        <v>5</v>
      </c>
      <c r="D6" s="2" t="s">
        <v>6</v>
      </c>
    </row>
    <row r="7" spans="2:4">
      <c r="B7" s="7" t="str">
        <f t="shared" si="0"/>
        <v>・</v>
      </c>
      <c r="C7" s="67" t="s">
        <v>7</v>
      </c>
      <c r="D7" s="2" t="s">
        <v>8</v>
      </c>
    </row>
    <row r="8" spans="2:4">
      <c r="B8" s="7" t="str">
        <f>IF(C8="","","・")</f>
        <v>・</v>
      </c>
      <c r="C8" s="67" t="s">
        <v>9</v>
      </c>
      <c r="D8" s="2" t="s">
        <v>10</v>
      </c>
    </row>
    <row r="9" spans="2:4">
      <c r="B9" s="7" t="str">
        <f>IF(C9="","","・")</f>
        <v>・</v>
      </c>
      <c r="C9" s="67" t="s">
        <v>11</v>
      </c>
      <c r="D9" s="2"/>
    </row>
    <row r="10" spans="2:4">
      <c r="B10" s="7" t="str">
        <f t="shared" si="0"/>
        <v>・</v>
      </c>
      <c r="C10" s="104" t="s">
        <v>12</v>
      </c>
      <c r="D10" s="2" t="s">
        <v>13</v>
      </c>
    </row>
    <row r="11" spans="2:4">
      <c r="B11" s="7" t="str">
        <f>IF(C11="","","・")</f>
        <v>・</v>
      </c>
      <c r="C11" s="104" t="s">
        <v>14</v>
      </c>
      <c r="D11" s="2" t="s">
        <v>15</v>
      </c>
    </row>
    <row r="12" spans="2:4">
      <c r="B12" s="7" t="str">
        <f>IF(C12="","","・")</f>
        <v>・</v>
      </c>
      <c r="C12" s="104" t="s">
        <v>16</v>
      </c>
      <c r="D12" s="2" t="s">
        <v>17</v>
      </c>
    </row>
    <row r="13" spans="2:4">
      <c r="B13" s="7" t="str">
        <f>IF(C13="","","・")</f>
        <v>・</v>
      </c>
      <c r="C13" s="104" t="s">
        <v>18</v>
      </c>
      <c r="D13" s="2" t="s">
        <v>17</v>
      </c>
    </row>
    <row r="14" spans="2:4">
      <c r="B14" s="7" t="str">
        <f>IF(C14="","","・")</f>
        <v>・</v>
      </c>
      <c r="C14" s="104" t="s">
        <v>19</v>
      </c>
      <c r="D14" s="2" t="s">
        <v>17</v>
      </c>
    </row>
    <row r="15" spans="2:4">
      <c r="B15" s="7" t="str">
        <f t="shared" si="0"/>
        <v>・</v>
      </c>
      <c r="C15" s="67" t="s">
        <v>20</v>
      </c>
      <c r="D15" s="2" t="s">
        <v>21</v>
      </c>
    </row>
    <row r="16" spans="2:4">
      <c r="B16" s="7" t="str">
        <f t="shared" si="0"/>
        <v>・</v>
      </c>
      <c r="C16" s="104" t="s">
        <v>22</v>
      </c>
      <c r="D16" s="2" t="s">
        <v>23</v>
      </c>
    </row>
    <row r="17" spans="2:4">
      <c r="B17" s="7" t="str">
        <f t="shared" si="0"/>
        <v>・</v>
      </c>
      <c r="C17" s="68" t="s">
        <v>24</v>
      </c>
      <c r="D17" s="2" t="s">
        <v>25</v>
      </c>
    </row>
    <row r="18" spans="2:4">
      <c r="B18" s="7" t="str">
        <f t="shared" si="0"/>
        <v>・</v>
      </c>
      <c r="C18" s="68" t="s">
        <v>26</v>
      </c>
      <c r="D18" s="2" t="s">
        <v>27</v>
      </c>
    </row>
    <row r="19" spans="2:4">
      <c r="B19" s="7" t="s">
        <v>29</v>
      </c>
      <c r="C19" s="67" t="s">
        <v>30</v>
      </c>
      <c r="D19" s="2" t="s">
        <v>31</v>
      </c>
    </row>
    <row r="20" spans="2:4">
      <c r="B20" s="7" t="str">
        <f t="shared" si="0"/>
        <v/>
      </c>
      <c r="C20" s="6"/>
      <c r="D20" s="2"/>
    </row>
    <row r="21" spans="2:4" ht="18" thickBot="1">
      <c r="B21" s="7" t="str">
        <f t="shared" si="0"/>
        <v/>
      </c>
      <c r="C21" s="6"/>
      <c r="D21" s="3"/>
    </row>
  </sheetData>
  <mergeCells count="2">
    <mergeCell ref="B3:C3"/>
    <mergeCell ref="C1:D1"/>
  </mergeCells>
  <phoneticPr fontId="4"/>
  <hyperlinks>
    <hyperlink ref="C5" location="設定仕様!A1" display="設定仕様" xr:uid="{00000000-0004-0000-0000-000000000000}"/>
    <hyperlink ref="C6" location="基本ルール!A1" display="基本ルール" xr:uid="{00000000-0004-0000-0000-000001000000}"/>
    <hyperlink ref="C4" location="基本情報!A1" display="基本情報" xr:uid="{00000000-0004-0000-0000-000002000000}"/>
    <hyperlink ref="C7" location="全体フロー!A1" display="全体フロー" xr:uid="{00000000-0004-0000-0000-000003000000}"/>
    <hyperlink ref="C8" location="画面一覧!A1" display="画面一覧" xr:uid="{00000000-0004-0000-0000-000004000000}"/>
    <hyperlink ref="C15" location="グラフィック一覧!A1" display="グラフィック一覧" xr:uid="{00000000-0004-0000-0000-000006000000}"/>
    <hyperlink ref="C19" location="エラー履歴!A1" display="デバッグリスト" xr:uid="{00000000-0004-0000-0000-000007000000}"/>
    <hyperlink ref="C9" location="ゲームメインフロー!A1" display="ゲームメインフロー" xr:uid="{59312646-FBA3-4F11-BB7B-5C34BD73533D}"/>
    <hyperlink ref="C11" location="タイトル画面!A1" display="タイトル画面" xr:uid="{637ADEAA-4A32-49DF-9A37-F3828749C6C1}"/>
    <hyperlink ref="C12" location="マップ選択画面!A1" display="マップ選択画面" xr:uid="{18500350-B9FB-4A42-A1C7-C3AADEBA0AC6}"/>
    <hyperlink ref="C13" location="'マップ選択画面 (2)'!A1" display="マップ選択画面(２)" xr:uid="{B1186745-574C-410E-A45A-BADF8F9AC26C}"/>
    <hyperlink ref="C14" location="'マップ選択画面 (3)'!A1" display="マップ選択画面(３)" xr:uid="{B16DD58B-EC5C-484C-9210-DE054B05EDBE}"/>
    <hyperlink ref="C16" location="サウンド一覧!A1" display="サウンド一覧" xr:uid="{58A9EA45-2A6D-429B-AB81-6B74DAC012A9}"/>
    <hyperlink ref="C10" location="一覧表項目説明!A1" display="一覧表項目説明" xr:uid="{33E9916F-D9D4-4A65-8E65-E7893ED467E8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7"/>
  <sheetViews>
    <sheetView zoomScaleNormal="100" workbookViewId="0">
      <selection activeCell="C7" sqref="C7"/>
    </sheetView>
  </sheetViews>
  <sheetFormatPr defaultRowHeight="17.649999999999999"/>
  <cols>
    <col min="1" max="1" width="5.25" bestFit="1" customWidth="1"/>
    <col min="2" max="2" width="19.25" style="40" bestFit="1" customWidth="1"/>
    <col min="3" max="3" width="48.5" bestFit="1" customWidth="1"/>
  </cols>
  <sheetData>
    <row r="1" spans="1:3" s="64" customFormat="1">
      <c r="A1" s="73" t="s">
        <v>32</v>
      </c>
      <c r="B1" s="65" t="s">
        <v>1</v>
      </c>
    </row>
    <row r="3" spans="1:3">
      <c r="B3" s="69" t="s">
        <v>33</v>
      </c>
      <c r="C3" s="1" t="s">
        <v>139</v>
      </c>
    </row>
    <row r="5" spans="1:3">
      <c r="B5" s="69" t="s">
        <v>34</v>
      </c>
      <c r="C5" s="51" t="s">
        <v>140</v>
      </c>
    </row>
    <row r="7" spans="1:3">
      <c r="B7" s="69" t="s">
        <v>35</v>
      </c>
      <c r="C7" s="51" t="s">
        <v>141</v>
      </c>
    </row>
  </sheetData>
  <phoneticPr fontId="4"/>
  <hyperlinks>
    <hyperlink ref="A1" location="目次!C4" display="目次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7"/>
  <sheetViews>
    <sheetView workbookViewId="0">
      <selection activeCell="C1" sqref="C1:C1048576"/>
    </sheetView>
  </sheetViews>
  <sheetFormatPr defaultColWidth="9" defaultRowHeight="17.649999999999999"/>
  <cols>
    <col min="1" max="1" width="5.25" style="12" bestFit="1" customWidth="1"/>
    <col min="2" max="2" width="17.375" style="12" bestFit="1" customWidth="1"/>
    <col min="3" max="4" width="14.625" style="12" customWidth="1"/>
    <col min="5" max="5" width="10.125" style="12" bestFit="1" customWidth="1"/>
    <col min="6" max="16384" width="9" style="12"/>
  </cols>
  <sheetData>
    <row r="1" spans="1:14" s="64" customFormat="1">
      <c r="A1" s="73" t="s">
        <v>32</v>
      </c>
      <c r="B1" s="64" t="s">
        <v>36</v>
      </c>
    </row>
    <row r="3" spans="1:14">
      <c r="B3" s="122" t="s">
        <v>37</v>
      </c>
      <c r="C3" s="122"/>
      <c r="D3" s="122"/>
    </row>
    <row r="4" spans="1:14">
      <c r="B4" s="55" t="s">
        <v>38</v>
      </c>
      <c r="C4" s="125"/>
      <c r="D4" s="125"/>
    </row>
    <row r="6" spans="1:14">
      <c r="B6" s="122" t="s">
        <v>39</v>
      </c>
      <c r="C6" s="122"/>
      <c r="D6" s="122"/>
    </row>
    <row r="7" spans="1:14">
      <c r="B7" s="14" t="s">
        <v>40</v>
      </c>
      <c r="C7" s="123" t="s">
        <v>41</v>
      </c>
      <c r="D7" s="124"/>
      <c r="J7"/>
      <c r="K7"/>
      <c r="L7"/>
      <c r="M7"/>
      <c r="N7"/>
    </row>
    <row r="8" spans="1:14">
      <c r="J8"/>
      <c r="K8"/>
      <c r="L8"/>
      <c r="M8"/>
      <c r="N8"/>
    </row>
    <row r="9" spans="1:14">
      <c r="B9" s="122" t="s">
        <v>42</v>
      </c>
      <c r="C9" s="122"/>
      <c r="D9" s="122"/>
      <c r="H9"/>
      <c r="I9"/>
      <c r="J9"/>
      <c r="K9"/>
    </row>
    <row r="10" spans="1:14">
      <c r="B10" s="126" t="s">
        <v>43</v>
      </c>
      <c r="C10" s="13" t="s">
        <v>44</v>
      </c>
      <c r="D10" s="13" t="s">
        <v>132</v>
      </c>
      <c r="F10" s="42"/>
      <c r="G10" s="42"/>
      <c r="H10"/>
      <c r="I10"/>
      <c r="J10"/>
      <c r="K10"/>
      <c r="N10"/>
    </row>
    <row r="11" spans="1:14">
      <c r="B11" s="126"/>
      <c r="C11" s="13" t="s">
        <v>45</v>
      </c>
      <c r="D11" s="15"/>
      <c r="F11" s="42"/>
      <c r="G11" s="42"/>
      <c r="H11"/>
      <c r="I11"/>
      <c r="J11"/>
      <c r="K11"/>
      <c r="N11"/>
    </row>
    <row r="12" spans="1:14">
      <c r="B12" s="126"/>
      <c r="C12" s="13" t="s">
        <v>46</v>
      </c>
      <c r="D12" s="15"/>
      <c r="F12" s="42"/>
      <c r="G12" s="42"/>
      <c r="H12"/>
      <c r="I12"/>
      <c r="J12"/>
      <c r="K12"/>
      <c r="N12"/>
    </row>
    <row r="13" spans="1:14">
      <c r="B13" s="126"/>
      <c r="C13" s="13" t="s">
        <v>47</v>
      </c>
      <c r="D13" s="15"/>
      <c r="F13" s="42"/>
      <c r="G13" s="42"/>
      <c r="H13"/>
      <c r="I13"/>
      <c r="J13"/>
      <c r="K13"/>
      <c r="N13"/>
    </row>
    <row r="14" spans="1:14">
      <c r="B14" s="126"/>
      <c r="C14" s="13" t="s">
        <v>131</v>
      </c>
      <c r="D14" s="15"/>
      <c r="F14" s="42"/>
      <c r="G14" s="42"/>
      <c r="H14"/>
      <c r="I14"/>
      <c r="J14"/>
      <c r="K14"/>
      <c r="N14"/>
    </row>
    <row r="15" spans="1:14">
      <c r="B15"/>
      <c r="C15"/>
      <c r="D15"/>
      <c r="F15" s="42"/>
      <c r="G15" s="42"/>
      <c r="H15"/>
      <c r="I15"/>
      <c r="J15"/>
      <c r="K15"/>
      <c r="N15"/>
    </row>
    <row r="16" spans="1:14">
      <c r="B16" s="122" t="s">
        <v>48</v>
      </c>
      <c r="C16" s="122"/>
      <c r="D16" s="122"/>
    </row>
    <row r="17" spans="2:4">
      <c r="B17" s="14" t="s">
        <v>49</v>
      </c>
      <c r="C17" s="16"/>
      <c r="D17" s="15"/>
    </row>
  </sheetData>
  <mergeCells count="7">
    <mergeCell ref="B3:D3"/>
    <mergeCell ref="B16:D16"/>
    <mergeCell ref="B9:D9"/>
    <mergeCell ref="C7:D7"/>
    <mergeCell ref="C4:D4"/>
    <mergeCell ref="B6:D6"/>
    <mergeCell ref="B10:B14"/>
  </mergeCells>
  <phoneticPr fontId="4"/>
  <hyperlinks>
    <hyperlink ref="A1" location="目次!C4" display="目次" xr:uid="{00000000-0004-0000-0200-000000000000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72"/>
  <sheetViews>
    <sheetView topLeftCell="A33" zoomScaleNormal="100" workbookViewId="0">
      <selection activeCell="C17" sqref="C17"/>
    </sheetView>
  </sheetViews>
  <sheetFormatPr defaultRowHeight="17.649999999999999"/>
  <cols>
    <col min="1" max="1" width="5.25" bestFit="1" customWidth="1"/>
    <col min="2" max="2" width="3.625" style="5" bestFit="1" customWidth="1"/>
    <col min="3" max="3" width="31.75" bestFit="1" customWidth="1"/>
    <col min="4" max="4" width="131.75" bestFit="1" customWidth="1"/>
    <col min="5" max="5" width="88.125" bestFit="1" customWidth="1"/>
  </cols>
  <sheetData>
    <row r="1" spans="1:5" s="63" customFormat="1">
      <c r="A1" s="74" t="s">
        <v>32</v>
      </c>
      <c r="B1" s="62"/>
      <c r="C1" s="63" t="s">
        <v>5</v>
      </c>
    </row>
    <row r="2" spans="1:5" ht="18" thickBot="1"/>
    <row r="3" spans="1:5" ht="18" thickBot="1">
      <c r="C3" s="127" t="s">
        <v>50</v>
      </c>
      <c r="D3" s="128"/>
      <c r="E3" s="129"/>
    </row>
    <row r="4" spans="1:5">
      <c r="C4" s="8" t="s">
        <v>142</v>
      </c>
      <c r="D4" s="8" t="s">
        <v>144</v>
      </c>
      <c r="E4" s="8"/>
    </row>
    <row r="5" spans="1:5">
      <c r="C5" s="1"/>
      <c r="D5" s="1"/>
      <c r="E5" s="1"/>
    </row>
    <row r="6" spans="1:5">
      <c r="C6" s="1"/>
      <c r="D6" s="1"/>
      <c r="E6" s="1"/>
    </row>
    <row r="7" spans="1:5" ht="18" thickBot="1"/>
    <row r="8" spans="1:5" ht="18" thickBot="1">
      <c r="C8" s="130" t="s">
        <v>145</v>
      </c>
      <c r="D8" s="128"/>
      <c r="E8" s="129"/>
    </row>
    <row r="9" spans="1:5">
      <c r="C9" s="8" t="s">
        <v>143</v>
      </c>
      <c r="D9" s="8"/>
      <c r="E9" s="8"/>
    </row>
    <row r="10" spans="1:5">
      <c r="C10" s="8" t="s">
        <v>147</v>
      </c>
      <c r="D10" s="8" t="s">
        <v>146</v>
      </c>
      <c r="E10" s="8"/>
    </row>
    <row r="11" spans="1:5">
      <c r="C11" s="1"/>
      <c r="D11" s="1"/>
      <c r="E11" s="1"/>
    </row>
    <row r="13" spans="1:5" ht="18" thickBot="1"/>
    <row r="14" spans="1:5" ht="18" thickBot="1">
      <c r="C14" s="131" t="s">
        <v>51</v>
      </c>
      <c r="D14" s="128"/>
      <c r="E14" s="129"/>
    </row>
    <row r="15" spans="1:5" ht="18" customHeight="1">
      <c r="B15" s="5">
        <v>1</v>
      </c>
      <c r="C15" s="8" t="s">
        <v>148</v>
      </c>
      <c r="D15" s="8"/>
      <c r="E15" s="8"/>
    </row>
    <row r="16" spans="1:5" ht="18" customHeight="1">
      <c r="B16" s="5">
        <v>2</v>
      </c>
      <c r="C16" s="8" t="s">
        <v>149</v>
      </c>
      <c r="D16" s="105"/>
      <c r="E16" s="8"/>
    </row>
    <row r="17" spans="2:5">
      <c r="B17" s="5">
        <v>3</v>
      </c>
      <c r="C17" s="1" t="s">
        <v>161</v>
      </c>
      <c r="D17" s="58"/>
      <c r="E17" s="1"/>
    </row>
    <row r="18" spans="2:5">
      <c r="B18" s="5">
        <v>4</v>
      </c>
      <c r="C18" s="59"/>
      <c r="D18" s="60"/>
      <c r="E18" s="6"/>
    </row>
    <row r="19" spans="2:5">
      <c r="B19" s="5">
        <v>5</v>
      </c>
      <c r="C19" s="1"/>
      <c r="D19" s="61"/>
      <c r="E19" s="1"/>
    </row>
    <row r="20" spans="2:5">
      <c r="B20" s="5">
        <v>6</v>
      </c>
      <c r="C20" s="1"/>
      <c r="D20" s="1"/>
      <c r="E20" s="1"/>
    </row>
    <row r="21" spans="2:5">
      <c r="B21" s="5">
        <v>7</v>
      </c>
      <c r="C21" s="1"/>
      <c r="D21" s="1"/>
      <c r="E21" s="1"/>
    </row>
    <row r="22" spans="2:5">
      <c r="B22" s="5">
        <v>8</v>
      </c>
      <c r="C22" s="1"/>
      <c r="D22" s="1"/>
      <c r="E22" s="1"/>
    </row>
    <row r="23" spans="2:5">
      <c r="B23" s="5">
        <v>9</v>
      </c>
      <c r="C23" s="1"/>
      <c r="D23" s="1"/>
      <c r="E23" s="1"/>
    </row>
    <row r="24" spans="2:5">
      <c r="B24" s="5">
        <v>10</v>
      </c>
      <c r="C24" s="1"/>
      <c r="D24" s="1"/>
      <c r="E24" s="1"/>
    </row>
    <row r="25" spans="2:5">
      <c r="B25" s="5">
        <v>12</v>
      </c>
      <c r="C25" s="107"/>
      <c r="D25" s="107"/>
      <c r="E25" s="1"/>
    </row>
    <row r="26" spans="2:5">
      <c r="B26" s="5">
        <v>13</v>
      </c>
      <c r="C26" s="1"/>
      <c r="D26" s="1"/>
      <c r="E26" s="1"/>
    </row>
    <row r="27" spans="2:5">
      <c r="B27" s="5">
        <v>14</v>
      </c>
      <c r="C27" s="1"/>
      <c r="D27" s="1"/>
      <c r="E27" s="1"/>
    </row>
    <row r="28" spans="2:5">
      <c r="B28" s="5">
        <v>15</v>
      </c>
      <c r="C28" s="58"/>
      <c r="E28" s="1"/>
    </row>
    <row r="29" spans="2:5">
      <c r="B29" s="5">
        <v>16</v>
      </c>
      <c r="C29" s="57"/>
      <c r="D29" s="6"/>
      <c r="E29" s="1"/>
    </row>
    <row r="30" spans="2:5">
      <c r="B30" s="5">
        <v>17</v>
      </c>
      <c r="C30" s="8"/>
      <c r="D30" s="1"/>
      <c r="E30" s="1"/>
    </row>
    <row r="31" spans="2:5">
      <c r="B31" s="5">
        <v>18</v>
      </c>
      <c r="C31" s="1"/>
      <c r="D31" s="1"/>
      <c r="E31" s="1"/>
    </row>
    <row r="32" spans="2:5">
      <c r="B32" s="5">
        <v>19</v>
      </c>
      <c r="C32" s="1"/>
      <c r="D32" s="1"/>
      <c r="E32" s="1"/>
    </row>
    <row r="33" spans="2:5">
      <c r="B33" s="5">
        <v>20</v>
      </c>
      <c r="C33" s="1"/>
      <c r="D33" s="1"/>
      <c r="E33" s="1"/>
    </row>
    <row r="34" spans="2:5">
      <c r="B34" s="5">
        <v>21</v>
      </c>
      <c r="C34" s="1"/>
      <c r="D34" s="1"/>
      <c r="E34" s="1"/>
    </row>
    <row r="35" spans="2:5">
      <c r="B35" s="5">
        <v>22</v>
      </c>
      <c r="C35" s="1"/>
      <c r="D35" s="1"/>
      <c r="E35" s="1"/>
    </row>
    <row r="36" spans="2:5">
      <c r="B36" s="5">
        <v>23</v>
      </c>
      <c r="C36" s="1"/>
      <c r="D36" s="1"/>
      <c r="E36" s="1"/>
    </row>
    <row r="37" spans="2:5">
      <c r="B37" s="5">
        <v>24</v>
      </c>
      <c r="C37" s="1"/>
      <c r="D37" s="1"/>
      <c r="E37" s="1"/>
    </row>
    <row r="38" spans="2:5">
      <c r="B38" s="5">
        <v>25</v>
      </c>
      <c r="C38" s="1"/>
      <c r="D38" s="1"/>
      <c r="E38" s="1"/>
    </row>
    <row r="39" spans="2:5">
      <c r="B39" s="5">
        <v>26</v>
      </c>
      <c r="C39" s="1"/>
      <c r="D39" s="1"/>
      <c r="E39" s="1"/>
    </row>
    <row r="40" spans="2:5">
      <c r="B40" s="5">
        <v>27</v>
      </c>
      <c r="C40" s="1"/>
      <c r="D40" s="1"/>
      <c r="E40" s="1"/>
    </row>
    <row r="41" spans="2:5">
      <c r="B41" s="5">
        <v>28</v>
      </c>
      <c r="C41" s="1"/>
      <c r="D41" s="1"/>
      <c r="E41" s="1"/>
    </row>
    <row r="42" spans="2:5">
      <c r="B42" s="5">
        <v>29</v>
      </c>
      <c r="C42" s="1"/>
      <c r="D42" s="1"/>
      <c r="E42" s="1"/>
    </row>
    <row r="43" spans="2:5">
      <c r="B43" s="5">
        <v>30</v>
      </c>
      <c r="C43" s="1"/>
      <c r="D43" s="1"/>
      <c r="E43" s="1"/>
    </row>
    <row r="44" spans="2:5">
      <c r="B44" s="5">
        <v>31</v>
      </c>
      <c r="C44" s="1"/>
      <c r="D44" s="1"/>
      <c r="E44" s="1"/>
    </row>
    <row r="45" spans="2:5">
      <c r="B45" s="5">
        <v>32</v>
      </c>
      <c r="C45" s="1"/>
      <c r="D45" s="1"/>
      <c r="E45" s="1"/>
    </row>
    <row r="46" spans="2:5">
      <c r="B46" s="5">
        <v>33</v>
      </c>
      <c r="C46" s="1"/>
      <c r="D46" s="1"/>
      <c r="E46" s="1"/>
    </row>
    <row r="47" spans="2:5">
      <c r="B47" s="5">
        <v>34</v>
      </c>
      <c r="C47" s="1"/>
      <c r="D47" s="1"/>
      <c r="E47" s="1"/>
    </row>
    <row r="48" spans="2:5">
      <c r="B48" s="5">
        <v>35</v>
      </c>
      <c r="C48" s="1"/>
      <c r="D48" s="1"/>
      <c r="E48" s="1"/>
    </row>
    <row r="49" spans="2:5">
      <c r="B49" s="5">
        <v>36</v>
      </c>
      <c r="C49" s="1"/>
      <c r="D49" s="1"/>
      <c r="E49" s="1"/>
    </row>
    <row r="50" spans="2:5">
      <c r="B50" s="5">
        <v>37</v>
      </c>
      <c r="C50" s="1"/>
      <c r="D50" s="1"/>
      <c r="E50" s="1"/>
    </row>
    <row r="51" spans="2:5">
      <c r="B51" s="5">
        <v>38</v>
      </c>
      <c r="C51" s="1"/>
      <c r="D51" s="1"/>
      <c r="E51" s="1"/>
    </row>
    <row r="52" spans="2:5">
      <c r="B52" s="5">
        <v>39</v>
      </c>
      <c r="C52" s="1"/>
      <c r="D52" s="1"/>
      <c r="E52" s="1"/>
    </row>
    <row r="53" spans="2:5">
      <c r="B53" s="5">
        <v>40</v>
      </c>
      <c r="C53" s="1"/>
      <c r="D53" s="1"/>
      <c r="E53" s="1"/>
    </row>
    <row r="54" spans="2:5">
      <c r="B54" s="5">
        <v>41</v>
      </c>
      <c r="C54" s="1"/>
      <c r="D54" s="1"/>
      <c r="E54" s="1"/>
    </row>
    <row r="55" spans="2:5">
      <c r="B55" s="5">
        <v>42</v>
      </c>
      <c r="C55" s="1"/>
      <c r="D55" s="1"/>
      <c r="E55" s="1"/>
    </row>
    <row r="56" spans="2:5">
      <c r="B56" s="5">
        <v>43</v>
      </c>
      <c r="C56" s="1"/>
      <c r="D56" s="1"/>
      <c r="E56" s="1"/>
    </row>
    <row r="57" spans="2:5">
      <c r="B57" s="5">
        <v>44</v>
      </c>
      <c r="C57" s="1"/>
      <c r="D57" s="1"/>
      <c r="E57" s="1"/>
    </row>
    <row r="58" spans="2:5">
      <c r="B58" s="5">
        <v>45</v>
      </c>
      <c r="C58" s="1"/>
      <c r="D58" s="1"/>
      <c r="E58" s="1"/>
    </row>
    <row r="59" spans="2:5">
      <c r="B59" s="5">
        <v>46</v>
      </c>
      <c r="C59" s="1"/>
      <c r="D59" s="1"/>
      <c r="E59" s="1"/>
    </row>
    <row r="60" spans="2:5">
      <c r="B60" s="5">
        <v>47</v>
      </c>
      <c r="C60" s="1"/>
      <c r="D60" s="1"/>
      <c r="E60" s="1"/>
    </row>
    <row r="61" spans="2:5">
      <c r="B61" s="5">
        <v>48</v>
      </c>
      <c r="C61" s="1"/>
      <c r="D61" s="1"/>
      <c r="E61" s="1"/>
    </row>
    <row r="62" spans="2:5">
      <c r="B62" s="5">
        <v>49</v>
      </c>
      <c r="C62" s="1"/>
      <c r="D62" s="1"/>
      <c r="E62" s="1"/>
    </row>
    <row r="63" spans="2:5">
      <c r="B63" s="5">
        <v>50</v>
      </c>
      <c r="C63" s="1"/>
      <c r="D63" s="1"/>
      <c r="E63" s="1"/>
    </row>
    <row r="64" spans="2:5">
      <c r="B64" s="5">
        <v>51</v>
      </c>
      <c r="C64" s="1"/>
      <c r="D64" s="1"/>
      <c r="E64" s="1"/>
    </row>
    <row r="65" spans="2:5">
      <c r="B65" s="5">
        <v>52</v>
      </c>
      <c r="C65" s="1"/>
      <c r="D65" s="1"/>
      <c r="E65" s="1"/>
    </row>
    <row r="66" spans="2:5">
      <c r="B66" s="5">
        <v>53</v>
      </c>
      <c r="C66" s="1"/>
      <c r="D66" s="1"/>
      <c r="E66" s="1"/>
    </row>
    <row r="67" spans="2:5">
      <c r="C67" s="1"/>
      <c r="D67" s="1"/>
      <c r="E67" s="1"/>
    </row>
    <row r="68" spans="2:5">
      <c r="C68" s="1"/>
      <c r="D68" s="1"/>
      <c r="E68" s="1"/>
    </row>
    <row r="69" spans="2:5">
      <c r="C69" s="1"/>
      <c r="D69" s="1"/>
      <c r="E69" s="1"/>
    </row>
    <row r="70" spans="2:5">
      <c r="C70" s="1"/>
      <c r="D70" s="1"/>
      <c r="E70" s="1"/>
    </row>
    <row r="71" spans="2:5">
      <c r="C71" s="1"/>
      <c r="D71" s="1"/>
      <c r="E71" s="1"/>
    </row>
    <row r="72" spans="2:5">
      <c r="C72" s="1"/>
      <c r="D72" s="1"/>
      <c r="E72" s="1"/>
    </row>
  </sheetData>
  <mergeCells count="3">
    <mergeCell ref="C3:E3"/>
    <mergeCell ref="C8:E8"/>
    <mergeCell ref="C14:E14"/>
  </mergeCells>
  <phoneticPr fontId="4"/>
  <hyperlinks>
    <hyperlink ref="A1" location="目次!C5" display="目次" xr:uid="{00000000-0004-0000-0300-000000000000}"/>
    <hyperlink ref="C14:E14" location="全体フロー!A1" display="▼ゲームの流れ" xr:uid="{00000000-0004-0000-0300-000001000000}"/>
  </hyperlink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B50"/>
  <sheetViews>
    <sheetView topLeftCell="A7" workbookViewId="0">
      <selection activeCell="B15" sqref="B15"/>
    </sheetView>
  </sheetViews>
  <sheetFormatPr defaultColWidth="3.125" defaultRowHeight="17.649999999999999"/>
  <cols>
    <col min="1" max="1" width="5.25" bestFit="1" customWidth="1"/>
  </cols>
  <sheetData>
    <row r="1" spans="1:27" s="63" customFormat="1">
      <c r="A1" s="74" t="s">
        <v>32</v>
      </c>
      <c r="C1" s="109" t="s">
        <v>7</v>
      </c>
      <c r="D1" s="109"/>
      <c r="E1" s="109"/>
      <c r="F1" s="109"/>
    </row>
    <row r="3" spans="1:27">
      <c r="M3" s="114" t="s">
        <v>55</v>
      </c>
      <c r="N3" s="114"/>
      <c r="O3" s="114"/>
      <c r="P3" s="114"/>
      <c r="Q3" s="114"/>
    </row>
    <row r="4" spans="1:27">
      <c r="M4" s="114"/>
      <c r="N4" s="114"/>
      <c r="O4" s="114"/>
      <c r="P4" s="114"/>
      <c r="Q4" s="114"/>
    </row>
    <row r="5" spans="1:27">
      <c r="M5" s="114"/>
      <c r="N5" s="114"/>
      <c r="O5" s="114"/>
      <c r="P5" s="114"/>
      <c r="Q5" s="114"/>
    </row>
    <row r="8" spans="1:27" ht="18" thickBot="1">
      <c r="L8">
        <v>0</v>
      </c>
      <c r="V8">
        <v>1</v>
      </c>
    </row>
    <row r="9" spans="1:27">
      <c r="M9" s="140" t="s">
        <v>14</v>
      </c>
      <c r="N9" s="141"/>
      <c r="O9" s="141"/>
      <c r="P9" s="141"/>
      <c r="Q9" s="142"/>
      <c r="W9" s="110" t="s">
        <v>151</v>
      </c>
      <c r="X9" s="111"/>
      <c r="Y9" s="111"/>
      <c r="Z9" s="111"/>
      <c r="AA9" s="112"/>
    </row>
    <row r="10" spans="1:27">
      <c r="M10" s="143"/>
      <c r="N10" s="144"/>
      <c r="O10" s="144"/>
      <c r="P10" s="144"/>
      <c r="Q10" s="145"/>
      <c r="W10" s="113"/>
      <c r="X10" s="114"/>
      <c r="Y10" s="114"/>
      <c r="Z10" s="114"/>
      <c r="AA10" s="115"/>
    </row>
    <row r="11" spans="1:27" ht="18" thickBot="1">
      <c r="M11" s="146"/>
      <c r="N11" s="147"/>
      <c r="O11" s="147"/>
      <c r="P11" s="147"/>
      <c r="Q11" s="148"/>
      <c r="T11" t="s">
        <v>152</v>
      </c>
      <c r="W11" s="116"/>
      <c r="X11" s="117"/>
      <c r="Y11" s="117"/>
      <c r="Z11" s="117"/>
      <c r="AA11" s="118"/>
    </row>
    <row r="14" spans="1:27" ht="18" thickBot="1">
      <c r="L14">
        <v>2</v>
      </c>
    </row>
    <row r="15" spans="1:27">
      <c r="M15" s="140" t="s">
        <v>56</v>
      </c>
      <c r="N15" s="141"/>
      <c r="O15" s="141"/>
      <c r="P15" s="141"/>
      <c r="Q15" s="142"/>
    </row>
    <row r="16" spans="1:27">
      <c r="M16" s="143"/>
      <c r="N16" s="144"/>
      <c r="O16" s="144"/>
      <c r="P16" s="144"/>
      <c r="Q16" s="145"/>
    </row>
    <row r="17" spans="10:27" ht="18" thickBot="1">
      <c r="M17" s="146"/>
      <c r="N17" s="147"/>
      <c r="O17" s="147"/>
      <c r="P17" s="147"/>
      <c r="Q17" s="148"/>
    </row>
    <row r="19" spans="10:27" ht="18" thickBot="1">
      <c r="L19">
        <v>3</v>
      </c>
    </row>
    <row r="20" spans="10:27">
      <c r="M20" s="110" t="s">
        <v>96</v>
      </c>
      <c r="N20" s="111"/>
      <c r="O20" s="111"/>
      <c r="P20" s="111"/>
      <c r="Q20" s="112"/>
      <c r="AA20" s="20"/>
    </row>
    <row r="21" spans="10:27">
      <c r="M21" s="113"/>
      <c r="N21" s="114"/>
      <c r="O21" s="114"/>
      <c r="P21" s="114"/>
      <c r="Q21" s="115"/>
      <c r="AA21" s="20"/>
    </row>
    <row r="22" spans="10:27" ht="18" thickBot="1">
      <c r="M22" s="116"/>
      <c r="N22" s="117"/>
      <c r="O22" s="117"/>
      <c r="P22" s="117"/>
      <c r="Q22" s="118"/>
    </row>
    <row r="24" spans="10:27" ht="18" thickBot="1">
      <c r="U24">
        <v>5</v>
      </c>
    </row>
    <row r="25" spans="10:27">
      <c r="R25" t="s">
        <v>159</v>
      </c>
      <c r="V25" s="132" t="s">
        <v>153</v>
      </c>
      <c r="W25" s="133"/>
      <c r="X25" s="133"/>
      <c r="Y25" s="133"/>
      <c r="Z25" s="134"/>
    </row>
    <row r="26" spans="10:27" ht="18" customHeight="1">
      <c r="M26" t="s">
        <v>157</v>
      </c>
      <c r="V26" s="135"/>
      <c r="W26" s="114"/>
      <c r="X26" s="114"/>
      <c r="Y26" s="114"/>
      <c r="Z26" s="136"/>
    </row>
    <row r="27" spans="10:27" ht="18" customHeight="1" thickBot="1">
      <c r="V27" s="137"/>
      <c r="W27" s="138"/>
      <c r="X27" s="138"/>
      <c r="Y27" s="138"/>
      <c r="Z27" s="139"/>
    </row>
    <row r="28" spans="10:27" ht="18.600000000000001" customHeight="1">
      <c r="J28" t="s">
        <v>143</v>
      </c>
      <c r="P28" t="s">
        <v>158</v>
      </c>
    </row>
    <row r="29" spans="10:27">
      <c r="J29" t="s">
        <v>155</v>
      </c>
    </row>
    <row r="30" spans="10:27" ht="18" thickBot="1">
      <c r="L30">
        <v>4</v>
      </c>
    </row>
    <row r="31" spans="10:27">
      <c r="M31" s="110" t="s">
        <v>154</v>
      </c>
      <c r="N31" s="111"/>
      <c r="O31" s="111"/>
      <c r="P31" s="111"/>
      <c r="Q31" s="112"/>
      <c r="T31" t="s">
        <v>158</v>
      </c>
    </row>
    <row r="32" spans="10:27">
      <c r="M32" s="113"/>
      <c r="N32" s="114"/>
      <c r="O32" s="114"/>
      <c r="P32" s="114"/>
      <c r="Q32" s="115"/>
      <c r="V32" t="s">
        <v>160</v>
      </c>
    </row>
    <row r="33" spans="9:28" ht="18" thickBot="1">
      <c r="M33" s="116"/>
      <c r="N33" s="117"/>
      <c r="O33" s="117"/>
      <c r="P33" s="117"/>
      <c r="Q33" s="118"/>
    </row>
    <row r="34" spans="9:28">
      <c r="I34" t="s">
        <v>156</v>
      </c>
      <c r="X34" t="s">
        <v>159</v>
      </c>
    </row>
    <row r="36" spans="9:28" ht="18" thickBot="1">
      <c r="U36">
        <v>6</v>
      </c>
    </row>
    <row r="37" spans="9:28">
      <c r="V37" s="110" t="s">
        <v>150</v>
      </c>
      <c r="W37" s="111"/>
      <c r="X37" s="111"/>
      <c r="Y37" s="111"/>
      <c r="Z37" s="112"/>
    </row>
    <row r="38" spans="9:28">
      <c r="V38" s="113"/>
      <c r="W38" s="114"/>
      <c r="X38" s="114"/>
      <c r="Y38" s="114"/>
      <c r="Z38" s="115"/>
    </row>
    <row r="39" spans="9:28" ht="18" thickBot="1">
      <c r="V39" s="116"/>
      <c r="W39" s="117"/>
      <c r="X39" s="117"/>
      <c r="Y39" s="117"/>
      <c r="Z39" s="118"/>
    </row>
    <row r="44" spans="9:28">
      <c r="M44" s="56"/>
      <c r="N44" s="20"/>
      <c r="O44" s="20"/>
      <c r="P44" s="20"/>
      <c r="Q44" s="20"/>
      <c r="X44" s="56"/>
      <c r="Y44" s="20"/>
      <c r="Z44" s="20"/>
      <c r="AA44" s="20"/>
      <c r="AB44" s="20"/>
    </row>
    <row r="46" spans="9:28">
      <c r="Y46" s="43"/>
    </row>
    <row r="48" spans="9:28">
      <c r="R48" s="56"/>
      <c r="S48" s="20"/>
      <c r="T48" s="20"/>
      <c r="U48" s="20"/>
      <c r="V48" s="20"/>
    </row>
    <row r="49" spans="18:22">
      <c r="R49" s="20"/>
      <c r="S49" s="20"/>
      <c r="T49" s="20"/>
      <c r="U49" s="20"/>
      <c r="V49" s="20"/>
    </row>
    <row r="50" spans="18:22">
      <c r="R50" s="20"/>
      <c r="S50" s="20"/>
      <c r="T50" s="20"/>
      <c r="U50" s="20"/>
      <c r="V50" s="20"/>
    </row>
  </sheetData>
  <mergeCells count="9">
    <mergeCell ref="V37:Z39"/>
    <mergeCell ref="W9:AA11"/>
    <mergeCell ref="M31:Q33"/>
    <mergeCell ref="M20:Q22"/>
    <mergeCell ref="V25:Z27"/>
    <mergeCell ref="C1:F1"/>
    <mergeCell ref="M9:Q11"/>
    <mergeCell ref="M15:Q17"/>
    <mergeCell ref="M3:Q5"/>
  </mergeCells>
  <phoneticPr fontId="4"/>
  <hyperlinks>
    <hyperlink ref="M9:Q11" location="タイトル画面!A1" display="タイトル画面" xr:uid="{00000000-0004-0000-0400-000000000000}"/>
    <hyperlink ref="A1" location="目次!A1" display="◀" xr:uid="{00000000-0004-0000-0400-000001000000}"/>
    <hyperlink ref="M15:Q17" location="メイン画面!A1" display="メイン画面" xr:uid="{00000000-0004-0000-0400-000002000000}"/>
  </hyperlink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7"/>
  <sheetViews>
    <sheetView topLeftCell="B1" workbookViewId="0">
      <selection activeCell="C5" sqref="C5"/>
    </sheetView>
  </sheetViews>
  <sheetFormatPr defaultRowHeight="17.649999999999999"/>
  <cols>
    <col min="1" max="1" width="5.25" bestFit="1" customWidth="1"/>
    <col min="3" max="3" width="29.75" bestFit="1" customWidth="1"/>
    <col min="4" max="4" width="19.25" bestFit="1" customWidth="1"/>
  </cols>
  <sheetData>
    <row r="1" spans="1:4" s="63" customFormat="1">
      <c r="A1" s="74" t="s">
        <v>32</v>
      </c>
      <c r="C1" s="62" t="s">
        <v>57</v>
      </c>
    </row>
    <row r="3" spans="1:4">
      <c r="C3" s="41" t="s">
        <v>58</v>
      </c>
      <c r="D3" s="41"/>
    </row>
    <row r="4" spans="1:4">
      <c r="C4" s="1" t="s">
        <v>136</v>
      </c>
      <c r="D4" s="1" t="s">
        <v>59</v>
      </c>
    </row>
    <row r="5" spans="1:4">
      <c r="C5" s="1"/>
      <c r="D5" s="1"/>
    </row>
    <row r="6" spans="1:4">
      <c r="C6" s="1"/>
      <c r="D6" s="1"/>
    </row>
    <row r="7" spans="1:4">
      <c r="C7" s="1"/>
      <c r="D7" s="1"/>
    </row>
    <row r="8" spans="1:4">
      <c r="C8" s="1"/>
      <c r="D8" s="1"/>
    </row>
    <row r="9" spans="1:4">
      <c r="C9" s="1"/>
      <c r="D9" s="1"/>
    </row>
    <row r="10" spans="1:4">
      <c r="C10" s="1"/>
      <c r="D10" s="1"/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  <row r="20" spans="3:4">
      <c r="C20" s="1"/>
      <c r="D20" s="1"/>
    </row>
    <row r="21" spans="3:4">
      <c r="C21" s="1"/>
      <c r="D21" s="1"/>
    </row>
    <row r="22" spans="3:4">
      <c r="C22" s="1"/>
      <c r="D22" s="75"/>
    </row>
    <row r="23" spans="3:4">
      <c r="C23" s="1"/>
      <c r="D23" s="1"/>
    </row>
    <row r="24" spans="3:4">
      <c r="C24" s="1"/>
      <c r="D24" s="1"/>
    </row>
    <row r="25" spans="3:4">
      <c r="C25" s="1"/>
      <c r="D25" s="1"/>
    </row>
    <row r="26" spans="3:4">
      <c r="C26" s="1"/>
      <c r="D26" s="1"/>
    </row>
    <row r="27" spans="3:4">
      <c r="C27" s="1"/>
      <c r="D27" s="1"/>
    </row>
  </sheetData>
  <phoneticPr fontId="4"/>
  <hyperlinks>
    <hyperlink ref="A1" location="目次!A1" display="◀" xr:uid="{00000000-0004-0000-0500-000000000000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R15"/>
  <sheetViews>
    <sheetView workbookViewId="0">
      <selection activeCell="Q11" sqref="Q11"/>
    </sheetView>
  </sheetViews>
  <sheetFormatPr defaultColWidth="3.125" defaultRowHeight="17.649999999999999"/>
  <cols>
    <col min="1" max="1" width="5.25" bestFit="1" customWidth="1"/>
  </cols>
  <sheetData>
    <row r="1" spans="1:18" s="63" customFormat="1">
      <c r="A1" s="74" t="s">
        <v>32</v>
      </c>
      <c r="C1" s="109" t="s">
        <v>52</v>
      </c>
      <c r="D1" s="109"/>
      <c r="E1" s="109"/>
      <c r="F1" s="109"/>
      <c r="G1" s="109"/>
    </row>
    <row r="2" spans="1:18" ht="18" thickBot="1"/>
    <row r="3" spans="1:18">
      <c r="C3" s="110" t="s">
        <v>53</v>
      </c>
      <c r="D3" s="111"/>
      <c r="E3" s="111"/>
      <c r="F3" s="111"/>
      <c r="G3" s="112"/>
      <c r="H3" s="40"/>
    </row>
    <row r="4" spans="1:18">
      <c r="C4" s="113"/>
      <c r="D4" s="114"/>
      <c r="E4" s="114"/>
      <c r="F4" s="114"/>
      <c r="G4" s="115"/>
    </row>
    <row r="5" spans="1:18" ht="18" thickBot="1">
      <c r="C5" s="116"/>
      <c r="D5" s="117"/>
      <c r="E5" s="117"/>
      <c r="F5" s="117"/>
      <c r="G5" s="118"/>
      <c r="H5" s="40"/>
    </row>
    <row r="6" spans="1:18">
      <c r="D6" s="40"/>
      <c r="E6" s="40"/>
      <c r="F6" s="40"/>
      <c r="G6" s="40"/>
      <c r="H6" s="40"/>
    </row>
    <row r="7" spans="1:18" ht="18" thickBot="1"/>
    <row r="8" spans="1:18">
      <c r="C8" s="110"/>
      <c r="D8" s="111"/>
      <c r="E8" s="111"/>
      <c r="F8" s="111"/>
      <c r="G8" s="112"/>
      <c r="R8" s="183"/>
    </row>
    <row r="9" spans="1:18">
      <c r="C9" s="113"/>
      <c r="D9" s="114"/>
      <c r="E9" s="114"/>
      <c r="F9" s="114"/>
      <c r="G9" s="115"/>
    </row>
    <row r="10" spans="1:18" ht="18" thickBot="1">
      <c r="C10" s="116"/>
      <c r="D10" s="117"/>
      <c r="E10" s="117"/>
      <c r="F10" s="117"/>
      <c r="G10" s="118"/>
    </row>
    <row r="12" spans="1:18" ht="18" thickBot="1">
      <c r="C12" s="108"/>
    </row>
    <row r="13" spans="1:18">
      <c r="C13" s="110"/>
      <c r="D13" s="111"/>
      <c r="E13" s="111"/>
      <c r="F13" s="111"/>
      <c r="G13" s="112"/>
    </row>
    <row r="14" spans="1:18">
      <c r="C14" s="113"/>
      <c r="D14" s="114"/>
      <c r="E14" s="114"/>
      <c r="F14" s="114"/>
      <c r="G14" s="115"/>
    </row>
    <row r="15" spans="1:18" ht="18" thickBot="1">
      <c r="C15" s="116"/>
      <c r="D15" s="117"/>
      <c r="E15" s="117"/>
      <c r="F15" s="117"/>
      <c r="G15" s="118"/>
    </row>
  </sheetData>
  <mergeCells count="4">
    <mergeCell ref="C1:G1"/>
    <mergeCell ref="C3:G5"/>
    <mergeCell ref="C13:G15"/>
    <mergeCell ref="C8:G10"/>
  </mergeCells>
  <phoneticPr fontId="4"/>
  <hyperlinks>
    <hyperlink ref="A1" location="目次!A1" display="◀" xr:uid="{00000000-0004-0000-0600-00000000000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9"/>
  <sheetViews>
    <sheetView zoomScaleNormal="100" workbookViewId="0">
      <selection activeCell="D6" sqref="D6"/>
    </sheetView>
  </sheetViews>
  <sheetFormatPr defaultRowHeight="17.649999999999999"/>
  <cols>
    <col min="1" max="1" width="5.25" bestFit="1" customWidth="1"/>
    <col min="2" max="2" width="3.5" bestFit="1" customWidth="1"/>
    <col min="3" max="3" width="22.875" bestFit="1" customWidth="1"/>
    <col min="4" max="4" width="58.75" bestFit="1" customWidth="1"/>
  </cols>
  <sheetData>
    <row r="1" spans="1:4" s="63" customFormat="1">
      <c r="A1" s="74" t="s">
        <v>32</v>
      </c>
      <c r="C1" s="121" t="s">
        <v>9</v>
      </c>
      <c r="D1" s="121"/>
    </row>
    <row r="3" spans="1:4">
      <c r="C3" s="1" t="s">
        <v>14</v>
      </c>
      <c r="D3" s="1" t="s">
        <v>60</v>
      </c>
    </row>
    <row r="4" spans="1:4">
      <c r="C4" s="1" t="s">
        <v>151</v>
      </c>
      <c r="D4" s="1"/>
    </row>
    <row r="5" spans="1:4">
      <c r="C5" s="1" t="s">
        <v>56</v>
      </c>
      <c r="D5" s="1"/>
    </row>
    <row r="6" spans="1:4">
      <c r="C6" s="1" t="s">
        <v>162</v>
      </c>
      <c r="D6" s="1" t="s">
        <v>163</v>
      </c>
    </row>
    <row r="7" spans="1:4">
      <c r="C7" s="1" t="s">
        <v>150</v>
      </c>
      <c r="D7" s="1"/>
    </row>
    <row r="8" spans="1:4">
      <c r="C8" s="1"/>
      <c r="D8" s="1"/>
    </row>
    <row r="9" spans="1:4">
      <c r="C9" s="1"/>
      <c r="D9" s="1"/>
    </row>
    <row r="10" spans="1:4">
      <c r="C10" s="1"/>
      <c r="D10" s="1"/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</sheetData>
  <mergeCells count="1">
    <mergeCell ref="C1:D1"/>
  </mergeCells>
  <phoneticPr fontId="4"/>
  <hyperlinks>
    <hyperlink ref="A1" location="目次!A1" display="◀" xr:uid="{00000000-0004-0000-0800-000000000000}"/>
  </hyperlink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1"/>
  <sheetViews>
    <sheetView workbookViewId="0">
      <selection activeCell="C7" sqref="C7:G9"/>
    </sheetView>
  </sheetViews>
  <sheetFormatPr defaultColWidth="3.125" defaultRowHeight="17.649999999999999"/>
  <cols>
    <col min="1" max="1" width="5.25" bestFit="1" customWidth="1"/>
  </cols>
  <sheetData>
    <row r="1" spans="1:11" s="63" customFormat="1">
      <c r="A1" s="74" t="s">
        <v>32</v>
      </c>
      <c r="C1" s="109" t="s">
        <v>11</v>
      </c>
      <c r="D1" s="109"/>
      <c r="E1" s="109"/>
      <c r="F1" s="109"/>
      <c r="G1" s="109"/>
      <c r="H1" s="109"/>
    </row>
    <row r="2" spans="1:11" ht="18" thickBot="1"/>
    <row r="3" spans="1:11">
      <c r="C3" s="110" t="s">
        <v>53</v>
      </c>
      <c r="D3" s="111"/>
      <c r="E3" s="111"/>
      <c r="F3" s="111"/>
      <c r="G3" s="112"/>
    </row>
    <row r="4" spans="1:11">
      <c r="C4" s="113"/>
      <c r="D4" s="114"/>
      <c r="E4" s="114"/>
      <c r="F4" s="114"/>
      <c r="G4" s="115"/>
      <c r="K4" t="s">
        <v>61</v>
      </c>
    </row>
    <row r="5" spans="1:11" ht="18" thickBot="1">
      <c r="C5" s="116"/>
      <c r="D5" s="117"/>
      <c r="E5" s="117"/>
      <c r="F5" s="117"/>
      <c r="G5" s="118"/>
      <c r="K5" t="s">
        <v>137</v>
      </c>
    </row>
    <row r="6" spans="1:11" ht="18" thickBot="1">
      <c r="E6" t="s">
        <v>54</v>
      </c>
    </row>
    <row r="7" spans="1:11">
      <c r="C7" s="110"/>
      <c r="D7" s="111"/>
      <c r="E7" s="111"/>
      <c r="F7" s="111"/>
      <c r="G7" s="112"/>
    </row>
    <row r="8" spans="1:11">
      <c r="C8" s="113"/>
      <c r="D8" s="114"/>
      <c r="E8" s="114"/>
      <c r="F8" s="114"/>
      <c r="G8" s="115"/>
    </row>
    <row r="9" spans="1:11" ht="18" thickBot="1">
      <c r="C9" s="116"/>
      <c r="D9" s="117"/>
      <c r="E9" s="117"/>
      <c r="F9" s="117"/>
      <c r="G9" s="118"/>
    </row>
    <row r="10" spans="1:11" ht="18" thickBot="1">
      <c r="E10" t="s">
        <v>54</v>
      </c>
    </row>
    <row r="11" spans="1:11">
      <c r="C11" s="110"/>
      <c r="D11" s="111"/>
      <c r="E11" s="111"/>
      <c r="F11" s="111"/>
      <c r="G11" s="112"/>
    </row>
    <row r="12" spans="1:11">
      <c r="C12" s="113"/>
      <c r="D12" s="114"/>
      <c r="E12" s="114"/>
      <c r="F12" s="114"/>
      <c r="G12" s="115"/>
    </row>
    <row r="13" spans="1:11" ht="18" thickBot="1">
      <c r="C13" s="116"/>
      <c r="D13" s="117"/>
      <c r="E13" s="117"/>
      <c r="F13" s="117"/>
      <c r="G13" s="118"/>
    </row>
    <row r="14" spans="1:11" ht="18" thickBot="1">
      <c r="E14" t="s">
        <v>54</v>
      </c>
    </row>
    <row r="15" spans="1:11">
      <c r="C15" s="110"/>
      <c r="D15" s="111"/>
      <c r="E15" s="111"/>
      <c r="F15" s="111"/>
      <c r="G15" s="112"/>
    </row>
    <row r="16" spans="1:11">
      <c r="C16" s="113"/>
      <c r="D16" s="114"/>
      <c r="E16" s="114"/>
      <c r="F16" s="114"/>
      <c r="G16" s="115"/>
    </row>
    <row r="17" spans="3:7" ht="18" thickBot="1">
      <c r="C17" s="116"/>
      <c r="D17" s="117"/>
      <c r="E17" s="117"/>
      <c r="F17" s="117"/>
      <c r="G17" s="118"/>
    </row>
    <row r="18" spans="3:7" ht="18" thickBot="1">
      <c r="E18" t="s">
        <v>54</v>
      </c>
    </row>
    <row r="19" spans="3:7">
      <c r="C19" s="110"/>
      <c r="D19" s="111"/>
      <c r="E19" s="111"/>
      <c r="F19" s="111"/>
      <c r="G19" s="112"/>
    </row>
    <row r="20" spans="3:7">
      <c r="C20" s="113"/>
      <c r="D20" s="114"/>
      <c r="E20" s="114"/>
      <c r="F20" s="114"/>
      <c r="G20" s="115"/>
    </row>
    <row r="21" spans="3:7" ht="18" thickBot="1">
      <c r="C21" s="116"/>
      <c r="D21" s="117"/>
      <c r="E21" s="117"/>
      <c r="F21" s="117"/>
      <c r="G21" s="118"/>
    </row>
  </sheetData>
  <mergeCells count="6">
    <mergeCell ref="C19:G21"/>
    <mergeCell ref="C1:H1"/>
    <mergeCell ref="C3:G5"/>
    <mergeCell ref="C7:G9"/>
    <mergeCell ref="C11:G13"/>
    <mergeCell ref="C15:G17"/>
  </mergeCells>
  <phoneticPr fontId="4"/>
  <hyperlinks>
    <hyperlink ref="A1" location="目次!A1" display="◀" xr:uid="{00000000-0004-0000-0700-000000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/>
  </sheetViews>
  <sheetFormatPr defaultRowHeight="17.649999999999999"/>
  <sheetData/>
  <phoneticPr fontId="4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T23"/>
  <sheetViews>
    <sheetView zoomScale="73" zoomScaleNormal="73" workbookViewId="0">
      <selection activeCell="H9" sqref="H9"/>
    </sheetView>
  </sheetViews>
  <sheetFormatPr defaultColWidth="3.125" defaultRowHeight="17.649999999999999"/>
  <cols>
    <col min="1" max="1" width="5.25" bestFit="1" customWidth="1"/>
    <col min="49" max="49" width="3.125" customWidth="1"/>
  </cols>
  <sheetData>
    <row r="1" spans="1:72" s="63" customFormat="1">
      <c r="A1" s="74" t="s">
        <v>32</v>
      </c>
      <c r="C1" s="109" t="s">
        <v>14</v>
      </c>
      <c r="D1" s="109"/>
      <c r="E1" s="109"/>
      <c r="F1" s="109"/>
      <c r="G1" s="109"/>
      <c r="H1" s="109"/>
    </row>
    <row r="2" spans="1:72">
      <c r="C2" s="149" t="s">
        <v>52</v>
      </c>
      <c r="D2" s="149"/>
      <c r="E2" s="149"/>
      <c r="F2" s="149"/>
      <c r="G2" s="149"/>
      <c r="H2" s="149"/>
    </row>
    <row r="4" spans="1:72" ht="17.25" customHeight="1"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</row>
    <row r="5" spans="1:72" ht="22.5" thickBot="1">
      <c r="K5">
        <v>1</v>
      </c>
      <c r="L5">
        <v>2</v>
      </c>
      <c r="M5">
        <v>3</v>
      </c>
      <c r="N5">
        <v>4</v>
      </c>
      <c r="O5">
        <v>5</v>
      </c>
      <c r="P5">
        <v>6</v>
      </c>
      <c r="Q5">
        <v>7</v>
      </c>
      <c r="R5">
        <v>8</v>
      </c>
      <c r="S5">
        <v>9</v>
      </c>
      <c r="T5">
        <v>10</v>
      </c>
      <c r="U5">
        <v>11</v>
      </c>
      <c r="V5">
        <v>12</v>
      </c>
      <c r="W5">
        <v>13</v>
      </c>
      <c r="X5">
        <v>14</v>
      </c>
      <c r="Y5">
        <v>15</v>
      </c>
      <c r="Z5">
        <v>16</v>
      </c>
      <c r="AA5">
        <v>17</v>
      </c>
      <c r="AB5">
        <v>18</v>
      </c>
      <c r="AC5">
        <v>19</v>
      </c>
      <c r="AD5">
        <v>20</v>
      </c>
      <c r="AE5">
        <v>21</v>
      </c>
      <c r="AF5">
        <v>22</v>
      </c>
      <c r="AG5">
        <v>23</v>
      </c>
      <c r="AH5">
        <v>24</v>
      </c>
      <c r="AI5">
        <v>25</v>
      </c>
      <c r="AJ5">
        <v>26</v>
      </c>
      <c r="AK5">
        <v>27</v>
      </c>
      <c r="AL5">
        <v>28</v>
      </c>
      <c r="AM5">
        <v>29</v>
      </c>
      <c r="AN5">
        <v>30</v>
      </c>
      <c r="AO5">
        <v>31</v>
      </c>
      <c r="AP5">
        <v>32</v>
      </c>
      <c r="AV5" s="154" t="s">
        <v>62</v>
      </c>
      <c r="AW5" s="155"/>
      <c r="AX5" s="155"/>
      <c r="AY5" s="12"/>
      <c r="AZ5" s="12"/>
      <c r="BA5" s="12"/>
      <c r="BB5" s="12"/>
      <c r="BC5" s="12"/>
      <c r="BD5" s="12"/>
      <c r="BE5" s="12"/>
    </row>
    <row r="6" spans="1:72" ht="18.75" customHeight="1">
      <c r="J6" s="40">
        <v>1</v>
      </c>
      <c r="K6" s="22"/>
      <c r="L6" s="23"/>
      <c r="M6" s="23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5"/>
      <c r="AB6" s="25"/>
      <c r="AC6" s="25"/>
      <c r="AD6" s="25"/>
      <c r="AE6" s="24"/>
      <c r="AF6" s="24"/>
      <c r="AG6" s="24"/>
      <c r="AH6" s="24"/>
      <c r="AI6" s="24"/>
      <c r="AJ6" s="24"/>
      <c r="AK6" s="24"/>
      <c r="AL6" s="24"/>
      <c r="AM6" s="24"/>
      <c r="AN6" s="26"/>
      <c r="AO6" s="23"/>
      <c r="AP6" s="27"/>
      <c r="AQ6" s="20"/>
      <c r="AV6" s="156"/>
      <c r="AW6" s="157"/>
      <c r="AX6" s="157"/>
      <c r="AY6" s="157"/>
      <c r="AZ6" s="157"/>
      <c r="BA6" s="157"/>
      <c r="BB6" s="157"/>
      <c r="BC6" s="157"/>
      <c r="BD6" s="157"/>
      <c r="BE6" s="158"/>
    </row>
    <row r="7" spans="1:72" ht="18.75" customHeight="1">
      <c r="J7" s="40">
        <v>2</v>
      </c>
      <c r="K7" s="28"/>
      <c r="L7" s="29"/>
      <c r="M7" s="29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30"/>
      <c r="AB7" s="30"/>
      <c r="AC7" s="30"/>
      <c r="AD7" s="30"/>
      <c r="AE7" s="20"/>
      <c r="AF7" s="20"/>
      <c r="AG7" s="20"/>
      <c r="AH7" s="20"/>
      <c r="AI7" s="20"/>
      <c r="AJ7" s="20"/>
      <c r="AK7" s="20"/>
      <c r="AL7" s="20"/>
      <c r="AM7" s="20"/>
      <c r="AN7" s="29"/>
      <c r="AO7" s="29"/>
      <c r="AP7" s="31"/>
      <c r="AQ7" s="20"/>
      <c r="AT7" s="20"/>
      <c r="AU7" s="20"/>
      <c r="AV7" s="123" t="s">
        <v>63</v>
      </c>
      <c r="AW7" s="150"/>
      <c r="AX7" s="150"/>
      <c r="AY7" s="124"/>
      <c r="AZ7" s="13" t="s">
        <v>64</v>
      </c>
      <c r="BA7" s="125" t="s">
        <v>65</v>
      </c>
      <c r="BB7" s="125"/>
      <c r="BC7" s="125"/>
      <c r="BD7" s="125"/>
      <c r="BE7" s="125"/>
    </row>
    <row r="8" spans="1:72" ht="18.75" customHeight="1">
      <c r="J8" s="40">
        <v>3</v>
      </c>
      <c r="K8" s="32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30"/>
      <c r="AB8" s="30"/>
      <c r="AC8" s="30"/>
      <c r="AD8" s="3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33"/>
      <c r="AQ8" s="20"/>
      <c r="AT8" s="20"/>
      <c r="AU8" s="20"/>
    </row>
    <row r="9" spans="1:72" ht="18.75" customHeight="1">
      <c r="J9" s="40">
        <v>4</v>
      </c>
      <c r="K9" s="34"/>
      <c r="AP9" s="35"/>
      <c r="AT9" s="20"/>
      <c r="AU9" s="20"/>
    </row>
    <row r="10" spans="1:72">
      <c r="J10" s="40">
        <v>5</v>
      </c>
      <c r="K10" s="34"/>
      <c r="AP10" s="35"/>
    </row>
    <row r="11" spans="1:72">
      <c r="J11" s="40">
        <v>6</v>
      </c>
      <c r="K11" s="34"/>
      <c r="AP11" s="35"/>
    </row>
    <row r="12" spans="1:72">
      <c r="J12" s="40">
        <v>7</v>
      </c>
      <c r="K12" s="34"/>
      <c r="AP12" s="35"/>
    </row>
    <row r="13" spans="1:72" ht="17.649999999999999" customHeight="1">
      <c r="J13" s="40">
        <v>8</v>
      </c>
      <c r="K13" s="34"/>
      <c r="AP13" s="35"/>
      <c r="BB13" s="151" t="s">
        <v>66</v>
      </c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</row>
    <row r="14" spans="1:72" ht="17.649999999999999" customHeight="1">
      <c r="J14" s="40">
        <v>9</v>
      </c>
      <c r="K14" s="34"/>
      <c r="AP14" s="35"/>
      <c r="BB14" s="152" t="s">
        <v>67</v>
      </c>
      <c r="BC14" s="153"/>
      <c r="BD14" s="153"/>
      <c r="BE14" s="153"/>
      <c r="BF14" s="153"/>
      <c r="BG14" s="153"/>
      <c r="BH14" s="153"/>
      <c r="BI14" s="153"/>
      <c r="BJ14" s="153"/>
      <c r="BK14" s="153"/>
      <c r="BL14" s="153"/>
    </row>
    <row r="15" spans="1:72" ht="18.75" customHeight="1">
      <c r="J15" s="40">
        <v>10</v>
      </c>
      <c r="K15" s="34"/>
      <c r="AP15" s="35"/>
      <c r="BB15" s="152" t="s">
        <v>68</v>
      </c>
      <c r="BC15" s="152"/>
      <c r="BD15" s="152"/>
      <c r="BE15" s="152"/>
      <c r="BF15" s="152"/>
      <c r="BG15" s="152"/>
      <c r="BH15" s="152"/>
      <c r="BI15" s="152"/>
      <c r="BJ15" s="152"/>
      <c r="BK15" s="152"/>
      <c r="BL15" s="152"/>
    </row>
    <row r="16" spans="1:72" ht="18.75" customHeight="1">
      <c r="J16" s="40">
        <v>11</v>
      </c>
      <c r="K16" s="34"/>
      <c r="AP16" s="35"/>
      <c r="BB16" s="152" t="s">
        <v>69</v>
      </c>
      <c r="BC16" s="152"/>
      <c r="BD16" s="152"/>
      <c r="BE16" s="152"/>
      <c r="BF16" s="152"/>
      <c r="BG16" s="152"/>
      <c r="BH16" s="152"/>
      <c r="BI16" s="152"/>
      <c r="BJ16" s="152"/>
      <c r="BK16" s="152"/>
      <c r="BL16" s="152"/>
    </row>
    <row r="17" spans="10:64" ht="18" customHeight="1">
      <c r="J17" s="40">
        <v>12</v>
      </c>
      <c r="K17" s="34"/>
      <c r="V17" s="159" t="s">
        <v>70</v>
      </c>
      <c r="W17" s="160"/>
      <c r="X17" s="160"/>
      <c r="Y17" s="160"/>
      <c r="Z17" s="160"/>
      <c r="AA17" s="160"/>
      <c r="AB17" s="160"/>
      <c r="AC17" s="160"/>
      <c r="AD17" s="160"/>
      <c r="AP17" s="35"/>
      <c r="BB17" s="54"/>
      <c r="BC17" s="53"/>
      <c r="BD17" s="53"/>
      <c r="BE17" s="53"/>
      <c r="BF17" s="53"/>
      <c r="BG17" s="53"/>
      <c r="BH17" s="53"/>
      <c r="BI17" s="53"/>
      <c r="BJ17" s="53"/>
      <c r="BK17" s="53"/>
      <c r="BL17" s="53"/>
    </row>
    <row r="18" spans="10:64" ht="18" customHeight="1">
      <c r="J18" s="40">
        <v>13</v>
      </c>
      <c r="K18" s="34"/>
      <c r="V18" s="160"/>
      <c r="W18" s="160"/>
      <c r="X18" s="160"/>
      <c r="Y18" s="160"/>
      <c r="Z18" s="160"/>
      <c r="AA18" s="160"/>
      <c r="AB18" s="160"/>
      <c r="AC18" s="160"/>
      <c r="AD18" s="160"/>
      <c r="AP18" s="35"/>
      <c r="BB18" s="54"/>
      <c r="BC18" s="53"/>
      <c r="BD18" s="53"/>
      <c r="BE18" s="53"/>
      <c r="BF18" s="53"/>
      <c r="BG18" s="53"/>
      <c r="BH18" s="53"/>
      <c r="BI18" s="53"/>
      <c r="BJ18" s="53"/>
      <c r="BK18" s="53"/>
      <c r="BL18" s="53"/>
    </row>
    <row r="19" spans="10:64" ht="18" customHeight="1">
      <c r="J19" s="40">
        <v>14</v>
      </c>
      <c r="K19" s="34"/>
      <c r="V19" s="160"/>
      <c r="W19" s="160"/>
      <c r="X19" s="160"/>
      <c r="Y19" s="160"/>
      <c r="Z19" s="160"/>
      <c r="AA19" s="160"/>
      <c r="AB19" s="160"/>
      <c r="AC19" s="160"/>
      <c r="AD19" s="160"/>
      <c r="AP19" s="35"/>
      <c r="BB19" s="54"/>
      <c r="BC19" s="53"/>
      <c r="BD19" s="53"/>
      <c r="BE19" s="53"/>
      <c r="BF19" s="53"/>
      <c r="BG19" s="53"/>
      <c r="BH19" s="53"/>
      <c r="BI19" s="53"/>
      <c r="BJ19" s="53"/>
      <c r="BK19" s="53"/>
      <c r="BL19" s="53"/>
    </row>
    <row r="20" spans="10:64" ht="18" customHeight="1">
      <c r="J20" s="40">
        <v>15</v>
      </c>
      <c r="K20" s="34"/>
      <c r="N20" s="103"/>
      <c r="O20" s="103"/>
      <c r="P20" s="103"/>
      <c r="Q20" s="103"/>
      <c r="R20" s="103"/>
      <c r="S20" s="161" t="s">
        <v>71</v>
      </c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03"/>
      <c r="AJ20" s="103"/>
      <c r="AK20" s="103"/>
      <c r="AL20" s="103"/>
      <c r="AM20" s="103"/>
      <c r="AP20" s="35"/>
      <c r="AS20" s="162" t="s">
        <v>72</v>
      </c>
      <c r="AT20" s="114"/>
      <c r="AU20" s="114"/>
      <c r="AV20" s="114"/>
    </row>
    <row r="21" spans="10:64" ht="17.850000000000001" customHeight="1">
      <c r="J21" s="40">
        <v>16</v>
      </c>
      <c r="K21" s="34"/>
      <c r="N21" s="103"/>
      <c r="O21" s="103"/>
      <c r="P21" s="103"/>
      <c r="Q21" s="103"/>
      <c r="R21" s="103"/>
      <c r="S21" s="161"/>
      <c r="T21" s="161"/>
      <c r="U21" s="161"/>
      <c r="V21" s="161"/>
      <c r="W21" s="161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03"/>
      <c r="AJ21" s="103"/>
      <c r="AK21" s="103"/>
      <c r="AL21" s="103"/>
      <c r="AM21" s="103"/>
      <c r="AP21" s="35"/>
    </row>
    <row r="22" spans="10:64" ht="18.75" customHeight="1">
      <c r="J22" s="40">
        <v>17</v>
      </c>
      <c r="K22" s="34"/>
      <c r="AP22" s="35"/>
    </row>
    <row r="23" spans="10:64" ht="18" thickBot="1">
      <c r="J23" s="40">
        <v>18</v>
      </c>
      <c r="K23" s="36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8"/>
    </row>
  </sheetData>
  <mergeCells count="13">
    <mergeCell ref="V17:AD19"/>
    <mergeCell ref="S20:AH21"/>
    <mergeCell ref="BB15:BL15"/>
    <mergeCell ref="BB16:BL16"/>
    <mergeCell ref="AS20:AV20"/>
    <mergeCell ref="C1:H1"/>
    <mergeCell ref="C2:H2"/>
    <mergeCell ref="AV7:AY7"/>
    <mergeCell ref="BB13:BL13"/>
    <mergeCell ref="BB14:BL14"/>
    <mergeCell ref="AV5:AX5"/>
    <mergeCell ref="AV6:BE6"/>
    <mergeCell ref="BA7:BE7"/>
  </mergeCells>
  <phoneticPr fontId="4"/>
  <hyperlinks>
    <hyperlink ref="A1" location="目次!A1" display="◀" xr:uid="{00000000-0004-0000-0A00-000000000000}"/>
    <hyperlink ref="C2:H2" location="タイトルフロー!A1" display="タイトルフロー" xr:uid="{00000000-0004-0000-0A00-000001000000}"/>
  </hyperlink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Q29"/>
  <sheetViews>
    <sheetView topLeftCell="A15" zoomScale="74" zoomScaleNormal="74" workbookViewId="0">
      <selection activeCell="W9" sqref="W9"/>
    </sheetView>
  </sheetViews>
  <sheetFormatPr defaultColWidth="3.125" defaultRowHeight="17.649999999999999"/>
  <cols>
    <col min="1" max="1" width="5.25" style="12" bestFit="1" customWidth="1"/>
    <col min="2" max="16384" width="3.125" style="12"/>
  </cols>
  <sheetData>
    <row r="1" spans="1:69" s="63" customFormat="1">
      <c r="A1" s="74" t="s">
        <v>32</v>
      </c>
      <c r="C1" s="109" t="s">
        <v>73</v>
      </c>
      <c r="D1" s="109"/>
      <c r="E1" s="109"/>
      <c r="F1" s="109"/>
      <c r="G1" s="109"/>
      <c r="H1" s="109"/>
    </row>
    <row r="2" spans="1:69">
      <c r="C2" s="176" t="s">
        <v>74</v>
      </c>
      <c r="D2" s="176"/>
      <c r="E2" s="176"/>
      <c r="F2" s="176"/>
      <c r="G2" s="176"/>
      <c r="H2" s="176"/>
    </row>
    <row r="3" spans="1:69">
      <c r="J3" s="155" t="s">
        <v>62</v>
      </c>
      <c r="K3" s="155"/>
      <c r="L3" s="155"/>
    </row>
    <row r="4" spans="1:69">
      <c r="A4" s="177" t="s">
        <v>75</v>
      </c>
      <c r="B4" s="177"/>
      <c r="C4" s="177"/>
      <c r="J4" s="156" t="s">
        <v>76</v>
      </c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8"/>
    </row>
    <row r="5" spans="1:69">
      <c r="J5" s="167" t="s">
        <v>77</v>
      </c>
      <c r="K5" s="168"/>
      <c r="L5" s="168"/>
      <c r="M5" s="169"/>
      <c r="N5" s="165" t="s">
        <v>63</v>
      </c>
      <c r="O5" s="165"/>
      <c r="P5" s="165" t="s">
        <v>135</v>
      </c>
      <c r="Q5" s="165"/>
      <c r="R5" s="165"/>
      <c r="S5" s="165"/>
      <c r="T5" s="165"/>
      <c r="U5" s="165"/>
      <c r="BB5" s="102"/>
      <c r="BC5" s="102"/>
      <c r="BD5" s="102"/>
      <c r="BE5" s="102"/>
      <c r="BF5" s="102"/>
      <c r="BG5" s="102"/>
      <c r="BH5" s="102"/>
      <c r="BI5" s="102"/>
      <c r="BJ5" s="102"/>
      <c r="BK5" s="102"/>
      <c r="BL5" s="102"/>
      <c r="BM5" s="102"/>
      <c r="BN5" s="102"/>
      <c r="BO5" s="102"/>
      <c r="BP5" s="102"/>
    </row>
    <row r="6" spans="1:69">
      <c r="J6" s="170"/>
      <c r="K6" s="171"/>
      <c r="L6" s="171"/>
      <c r="M6" s="172"/>
      <c r="N6" s="165" t="s">
        <v>78</v>
      </c>
      <c r="O6" s="165"/>
      <c r="P6" s="165" t="s">
        <v>134</v>
      </c>
      <c r="Q6" s="165"/>
      <c r="R6" s="165"/>
      <c r="S6" s="165"/>
      <c r="T6" s="165"/>
      <c r="U6" s="165"/>
      <c r="AF6" s="19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9" s="19" customFormat="1">
      <c r="J7" s="173"/>
      <c r="K7" s="174"/>
      <c r="L7" s="174"/>
      <c r="M7" s="175"/>
      <c r="N7" s="163" t="s">
        <v>132</v>
      </c>
      <c r="O7" s="164"/>
      <c r="P7" s="166" t="s">
        <v>133</v>
      </c>
      <c r="Q7" s="166"/>
      <c r="R7" s="166"/>
      <c r="S7" s="166"/>
      <c r="T7" s="166"/>
      <c r="U7" s="166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9" s="19" customFormat="1">
      <c r="AS8" s="101"/>
      <c r="AT8" s="101"/>
      <c r="AU8" s="101"/>
      <c r="AV8" s="101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9" s="19" customFormat="1">
      <c r="AS9" s="101"/>
      <c r="AT9" s="101"/>
      <c r="AU9" s="101"/>
      <c r="AV9" s="101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9">
      <c r="AS10" s="101"/>
      <c r="AT10" s="101"/>
      <c r="AU10" s="101"/>
      <c r="AV10" s="101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9">
      <c r="I11">
        <v>1</v>
      </c>
      <c r="J11">
        <v>2</v>
      </c>
      <c r="K11">
        <v>3</v>
      </c>
      <c r="L11">
        <v>4</v>
      </c>
      <c r="M11">
        <v>5</v>
      </c>
      <c r="N11">
        <v>6</v>
      </c>
      <c r="O11">
        <v>7</v>
      </c>
      <c r="P11">
        <v>8</v>
      </c>
      <c r="Q11">
        <v>9</v>
      </c>
      <c r="R11">
        <v>10</v>
      </c>
      <c r="S11">
        <v>11</v>
      </c>
      <c r="T11">
        <v>12</v>
      </c>
      <c r="U11">
        <v>13</v>
      </c>
      <c r="V11">
        <v>14</v>
      </c>
      <c r="W11">
        <v>15</v>
      </c>
      <c r="X11">
        <v>16</v>
      </c>
      <c r="Y11">
        <v>17</v>
      </c>
      <c r="Z11">
        <v>18</v>
      </c>
      <c r="AA11">
        <v>19</v>
      </c>
      <c r="AB11">
        <v>20</v>
      </c>
      <c r="AC11">
        <v>21</v>
      </c>
      <c r="AD11">
        <v>22</v>
      </c>
      <c r="AE11">
        <v>23</v>
      </c>
      <c r="AF11">
        <v>24</v>
      </c>
      <c r="AG11">
        <v>25</v>
      </c>
      <c r="AH11">
        <v>26</v>
      </c>
      <c r="AI11">
        <v>27</v>
      </c>
      <c r="AJ11">
        <v>28</v>
      </c>
      <c r="AK11">
        <v>29</v>
      </c>
      <c r="AL11">
        <v>30</v>
      </c>
      <c r="AM11">
        <v>31</v>
      </c>
      <c r="AN11">
        <v>32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9" ht="18.75" customHeight="1">
      <c r="H12" s="40">
        <v>1</v>
      </c>
      <c r="I12" s="91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3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9" ht="18.75" customHeight="1">
      <c r="H13" s="40">
        <v>2</v>
      </c>
      <c r="I13" s="94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6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9">
      <c r="H14" s="40">
        <v>3</v>
      </c>
      <c r="I14" s="94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6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9">
      <c r="H15" s="40">
        <v>4</v>
      </c>
      <c r="I15" s="94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6"/>
    </row>
    <row r="16" spans="1:69">
      <c r="H16" s="40">
        <v>5</v>
      </c>
      <c r="I16" s="94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</row>
    <row r="17" spans="8:69">
      <c r="H17" s="40">
        <v>6</v>
      </c>
      <c r="I17" s="94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5"/>
      <c r="AI17" s="95"/>
      <c r="AJ17" s="95"/>
      <c r="AK17" s="95"/>
      <c r="AL17" s="95"/>
      <c r="AM17" s="95"/>
      <c r="AN17" s="96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</row>
    <row r="18" spans="8:69">
      <c r="H18" s="40">
        <v>7</v>
      </c>
      <c r="I18" s="94"/>
      <c r="J18" s="95"/>
      <c r="K18" s="95"/>
      <c r="L18" s="95"/>
      <c r="M18" s="100"/>
      <c r="N18" s="100"/>
      <c r="O18" s="100"/>
      <c r="P18" s="100"/>
      <c r="Q18" s="100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  <c r="AC18" s="95"/>
      <c r="AD18" s="95"/>
      <c r="AE18" s="95"/>
      <c r="AF18" s="95"/>
      <c r="AG18" s="95"/>
      <c r="AH18" s="95"/>
      <c r="AI18" s="97"/>
      <c r="AJ18" s="97"/>
      <c r="AK18" s="97"/>
      <c r="AL18" s="97"/>
      <c r="AM18" s="97"/>
      <c r="AN18" s="96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</row>
    <row r="19" spans="8:69">
      <c r="H19" s="40">
        <v>8</v>
      </c>
      <c r="I19" s="94"/>
      <c r="J19" s="95"/>
      <c r="K19" s="95"/>
      <c r="L19" s="95"/>
      <c r="M19" s="100"/>
      <c r="N19" s="99"/>
      <c r="O19" s="100"/>
      <c r="P19" s="99"/>
      <c r="Q19" s="100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5"/>
      <c r="AI19" s="97"/>
      <c r="AJ19" s="98"/>
      <c r="AK19" s="97"/>
      <c r="AL19" s="98"/>
      <c r="AM19" s="97"/>
      <c r="AN19" s="96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</row>
    <row r="20" spans="8:69">
      <c r="H20" s="40">
        <v>9</v>
      </c>
      <c r="I20" s="94"/>
      <c r="J20" s="95"/>
      <c r="K20" s="95"/>
      <c r="L20" s="95"/>
      <c r="M20" s="100"/>
      <c r="N20" s="100"/>
      <c r="O20" s="100"/>
      <c r="P20" s="100"/>
      <c r="Q20" s="97"/>
      <c r="R20" s="97"/>
      <c r="S20" s="97"/>
      <c r="T20" s="97"/>
      <c r="U20" s="97"/>
      <c r="V20" s="95"/>
      <c r="W20" s="95"/>
      <c r="X20" s="95"/>
      <c r="Y20" s="95"/>
      <c r="Z20" s="95"/>
      <c r="AA20" s="95"/>
      <c r="AB20" s="95"/>
      <c r="AC20" s="97"/>
      <c r="AD20" s="97"/>
      <c r="AE20" s="97"/>
      <c r="AF20" s="97"/>
      <c r="AG20" s="97"/>
      <c r="AH20" s="95"/>
      <c r="AI20" s="97"/>
      <c r="AJ20" s="97"/>
      <c r="AK20" s="97"/>
      <c r="AL20" s="97"/>
      <c r="AM20" s="97"/>
      <c r="AN20" s="96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</row>
    <row r="21" spans="8:69">
      <c r="H21" s="40">
        <v>10</v>
      </c>
      <c r="I21" s="94"/>
      <c r="J21" s="95"/>
      <c r="K21" s="95"/>
      <c r="L21" s="95"/>
      <c r="M21" s="100"/>
      <c r="N21" s="99"/>
      <c r="O21" s="100"/>
      <c r="P21" s="99"/>
      <c r="Q21" s="97"/>
      <c r="R21" s="99"/>
      <c r="S21" s="97"/>
      <c r="T21" s="99"/>
      <c r="U21" s="97"/>
      <c r="V21" s="95"/>
      <c r="W21" s="95"/>
      <c r="X21" s="95"/>
      <c r="Y21" s="95"/>
      <c r="Z21" s="95"/>
      <c r="AA21" s="95"/>
      <c r="AB21" s="95"/>
      <c r="AC21" s="97"/>
      <c r="AD21" s="99"/>
      <c r="AE21" s="99"/>
      <c r="AF21" s="99"/>
      <c r="AG21" s="97"/>
      <c r="AH21" s="95"/>
      <c r="AI21" s="97"/>
      <c r="AJ21" s="98"/>
      <c r="AK21" s="97"/>
      <c r="AL21" s="98"/>
      <c r="AM21" s="97"/>
      <c r="AN21" s="96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</row>
    <row r="22" spans="8:69">
      <c r="H22" s="40">
        <v>11</v>
      </c>
      <c r="I22" s="94"/>
      <c r="J22" s="95"/>
      <c r="K22" s="95"/>
      <c r="L22" s="95"/>
      <c r="M22" s="100"/>
      <c r="N22" s="100"/>
      <c r="O22" s="100"/>
      <c r="P22" s="100"/>
      <c r="Q22" s="97"/>
      <c r="R22" s="97"/>
      <c r="S22" s="97"/>
      <c r="T22" s="97"/>
      <c r="U22" s="97"/>
      <c r="V22" s="95"/>
      <c r="W22" s="95"/>
      <c r="X22" s="95"/>
      <c r="Y22" s="95"/>
      <c r="Z22" s="95"/>
      <c r="AA22" s="95"/>
      <c r="AB22" s="95"/>
      <c r="AC22" s="97"/>
      <c r="AD22" s="97"/>
      <c r="AE22" s="97"/>
      <c r="AF22" s="97"/>
      <c r="AG22" s="97"/>
      <c r="AH22" s="95"/>
      <c r="AI22" s="97"/>
      <c r="AJ22" s="97"/>
      <c r="AK22" s="97"/>
      <c r="AL22" s="97"/>
      <c r="AM22" s="97"/>
      <c r="AN22" s="96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</row>
    <row r="23" spans="8:69">
      <c r="H23" s="40">
        <v>12</v>
      </c>
      <c r="I23" s="94"/>
      <c r="J23" s="95"/>
      <c r="K23" s="95"/>
      <c r="L23" s="95"/>
      <c r="M23" s="100"/>
      <c r="N23" s="99"/>
      <c r="O23" s="100"/>
      <c r="P23" s="99"/>
      <c r="Q23" s="97"/>
      <c r="R23" s="97"/>
      <c r="S23" s="97"/>
      <c r="T23" s="97"/>
      <c r="U23" s="97"/>
      <c r="V23" s="95"/>
      <c r="W23" s="95"/>
      <c r="X23" s="95"/>
      <c r="Y23" s="95"/>
      <c r="Z23" s="95"/>
      <c r="AA23" s="95"/>
      <c r="AB23" s="95"/>
      <c r="AC23" s="97"/>
      <c r="AD23" s="99"/>
      <c r="AE23" s="99"/>
      <c r="AF23" s="99"/>
      <c r="AG23" s="97"/>
      <c r="AH23" s="95"/>
      <c r="AI23" s="97"/>
      <c r="AJ23" s="98"/>
      <c r="AK23" s="97"/>
      <c r="AL23" s="98"/>
      <c r="AM23" s="97"/>
      <c r="AN23" s="96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</row>
    <row r="24" spans="8:69">
      <c r="H24" s="40">
        <v>13</v>
      </c>
      <c r="I24" s="94"/>
      <c r="J24" s="95"/>
      <c r="K24" s="95"/>
      <c r="L24" s="95"/>
      <c r="M24" s="100"/>
      <c r="N24" s="100"/>
      <c r="O24" s="100"/>
      <c r="P24" s="100"/>
      <c r="Q24" s="97"/>
      <c r="R24" s="99"/>
      <c r="S24" s="97"/>
      <c r="T24" s="99"/>
      <c r="U24" s="97"/>
      <c r="V24" s="95"/>
      <c r="W24" s="95"/>
      <c r="X24" s="95"/>
      <c r="Y24" s="95"/>
      <c r="Z24" s="95"/>
      <c r="AA24" s="95"/>
      <c r="AB24" s="95"/>
      <c r="AC24" s="97"/>
      <c r="AD24" s="97"/>
      <c r="AE24" s="97"/>
      <c r="AF24" s="97"/>
      <c r="AG24" s="97"/>
      <c r="AH24" s="95"/>
      <c r="AI24" s="97"/>
      <c r="AJ24" s="97"/>
      <c r="AK24" s="97"/>
      <c r="AL24" s="97"/>
      <c r="AM24" s="97"/>
      <c r="AN24" s="96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</row>
    <row r="25" spans="8:69">
      <c r="H25" s="40">
        <v>14</v>
      </c>
      <c r="I25" s="94"/>
      <c r="J25" s="95"/>
      <c r="K25" s="95"/>
      <c r="L25" s="95"/>
      <c r="M25" s="100"/>
      <c r="N25" s="100"/>
      <c r="O25" s="100"/>
      <c r="P25" s="100"/>
      <c r="Q25" s="97"/>
      <c r="R25" s="99"/>
      <c r="S25" s="97"/>
      <c r="T25" s="99"/>
      <c r="U25" s="97"/>
      <c r="V25" s="95"/>
      <c r="W25" s="95"/>
      <c r="X25" s="95"/>
      <c r="Y25" s="95"/>
      <c r="Z25" s="95"/>
      <c r="AA25" s="95"/>
      <c r="AB25" s="95"/>
      <c r="AC25" s="97"/>
      <c r="AD25" s="97"/>
      <c r="AE25" s="97"/>
      <c r="AF25" s="97"/>
      <c r="AG25" s="97"/>
      <c r="AH25" s="95"/>
      <c r="AI25" s="97"/>
      <c r="AJ25" s="97"/>
      <c r="AK25" s="97"/>
      <c r="AL25" s="97"/>
      <c r="AM25" s="97"/>
      <c r="AN25" s="96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</row>
    <row r="26" spans="8:69">
      <c r="H26" s="40">
        <v>15</v>
      </c>
      <c r="I26" s="80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7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</row>
    <row r="27" spans="8:69">
      <c r="H27" s="40">
        <v>16</v>
      </c>
      <c r="I27" s="80"/>
      <c r="J27" s="76"/>
      <c r="K27" s="85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</row>
    <row r="28" spans="8:69">
      <c r="H28" s="40">
        <v>17</v>
      </c>
      <c r="I28" s="82"/>
      <c r="J28" s="86"/>
      <c r="K28" s="88"/>
      <c r="L28" s="89"/>
      <c r="M28" s="90"/>
      <c r="N28" s="89"/>
      <c r="O28" s="88"/>
      <c r="P28" s="87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4"/>
    </row>
    <row r="29" spans="8:69">
      <c r="H29" s="40">
        <v>18</v>
      </c>
      <c r="I29" s="81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  <c r="AK29" s="78"/>
      <c r="AL29" s="78"/>
      <c r="AM29" s="78"/>
      <c r="AN29" s="79"/>
    </row>
  </sheetData>
  <mergeCells count="12">
    <mergeCell ref="J3:L3"/>
    <mergeCell ref="C1:H1"/>
    <mergeCell ref="C2:H2"/>
    <mergeCell ref="A4:C4"/>
    <mergeCell ref="J4:U4"/>
    <mergeCell ref="N7:O7"/>
    <mergeCell ref="P5:U5"/>
    <mergeCell ref="P6:U6"/>
    <mergeCell ref="P7:U7"/>
    <mergeCell ref="J5:M7"/>
    <mergeCell ref="N5:O5"/>
    <mergeCell ref="N6:O6"/>
  </mergeCells>
  <phoneticPr fontId="4"/>
  <hyperlinks>
    <hyperlink ref="A1" location="目次!A1" display="◀" xr:uid="{00000000-0004-0000-0D00-000000000000}"/>
    <hyperlink ref="C2:H2" location="メインフロー!A1" display="メインフロー" xr:uid="{00000000-0004-0000-0D00-000001000000}"/>
  </hyperlink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34"/>
  <sheetViews>
    <sheetView zoomScaleNormal="100" workbookViewId="0">
      <selection activeCell="E6" sqref="E6"/>
    </sheetView>
  </sheetViews>
  <sheetFormatPr defaultRowHeight="17.649999999999999"/>
  <cols>
    <col min="1" max="1" width="5.25" bestFit="1" customWidth="1"/>
    <col min="2" max="2" width="4.875" customWidth="1"/>
    <col min="3" max="3" width="31.75" bestFit="1" customWidth="1"/>
    <col min="5" max="5" width="50.5" bestFit="1" customWidth="1"/>
    <col min="6" max="7" width="6.25" customWidth="1"/>
    <col min="8" max="8" width="4.75" customWidth="1"/>
    <col min="9" max="9" width="26.625" customWidth="1"/>
    <col min="10" max="10" width="4.75" customWidth="1"/>
    <col min="12" max="12" width="4.75" customWidth="1"/>
    <col min="13" max="13" width="5.5" customWidth="1"/>
    <col min="14" max="14" width="8.5" customWidth="1"/>
    <col min="15" max="15" width="8.75" customWidth="1"/>
    <col min="16" max="16" width="15.625" customWidth="1"/>
    <col min="17" max="17" width="38.125" bestFit="1" customWidth="1"/>
  </cols>
  <sheetData>
    <row r="1" spans="1:17" s="63" customFormat="1">
      <c r="A1" s="74" t="s">
        <v>32</v>
      </c>
      <c r="C1" s="63" t="s">
        <v>20</v>
      </c>
    </row>
    <row r="3" spans="1:17">
      <c r="B3" s="178" t="s">
        <v>79</v>
      </c>
      <c r="C3" s="178" t="s">
        <v>80</v>
      </c>
      <c r="D3" s="178" t="s">
        <v>81</v>
      </c>
      <c r="E3" s="178" t="s">
        <v>82</v>
      </c>
      <c r="F3" s="178" t="s">
        <v>83</v>
      </c>
      <c r="G3" s="178"/>
      <c r="H3" s="178" t="s">
        <v>84</v>
      </c>
      <c r="I3" s="178" t="s">
        <v>85</v>
      </c>
      <c r="J3" s="179" t="s">
        <v>86</v>
      </c>
      <c r="K3" s="178" t="s">
        <v>87</v>
      </c>
      <c r="L3" s="179" t="s">
        <v>88</v>
      </c>
      <c r="M3" s="178" t="s">
        <v>89</v>
      </c>
      <c r="N3" s="178" t="s">
        <v>90</v>
      </c>
      <c r="O3" s="178" t="s">
        <v>91</v>
      </c>
      <c r="P3" s="178" t="s">
        <v>92</v>
      </c>
      <c r="Q3" s="178" t="s">
        <v>93</v>
      </c>
    </row>
    <row r="4" spans="1:17">
      <c r="B4" s="178"/>
      <c r="C4" s="178"/>
      <c r="D4" s="178"/>
      <c r="E4" s="178"/>
      <c r="F4" s="11" t="s">
        <v>94</v>
      </c>
      <c r="G4" s="11" t="s">
        <v>95</v>
      </c>
      <c r="H4" s="178"/>
      <c r="I4" s="178"/>
      <c r="J4" s="180"/>
      <c r="K4" s="178"/>
      <c r="L4" s="180"/>
      <c r="M4" s="178"/>
      <c r="N4" s="178"/>
      <c r="O4" s="178"/>
      <c r="P4" s="178"/>
      <c r="Q4" s="178"/>
    </row>
    <row r="5" spans="1:17">
      <c r="B5" s="1">
        <v>1</v>
      </c>
      <c r="C5" s="1" t="s">
        <v>165</v>
      </c>
      <c r="D5" s="1" t="s">
        <v>164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2</v>
      </c>
      <c r="C6" s="1" t="s">
        <v>166</v>
      </c>
      <c r="D6" s="1" t="s">
        <v>167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3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5</v>
      </c>
      <c r="C9" s="106"/>
      <c r="D9" s="106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6</v>
      </c>
      <c r="C10" s="106"/>
      <c r="D10" s="106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7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>
        <v>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>
        <v>9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>
        <v>10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>
        <v>11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>
        <v>12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>
        <v>13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>
        <v>14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>
        <v>15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>
        <v>16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>
        <v>17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>
        <v>18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>
        <v>19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>
        <v>20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>
        <v>21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>
        <v>22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>
      <c r="B28" s="1">
        <v>24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>
      <c r="B29" s="1">
        <v>25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>
      <c r="B30" s="1">
        <v>26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>
      <c r="B31" s="1">
        <v>27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>
      <c r="B32" s="1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7">
      <c r="B33" s="1">
        <v>29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2:17">
      <c r="B34" s="1">
        <v>30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</sheetData>
  <autoFilter ref="B3:Q4" xr:uid="{00000000-0009-0000-0000-00000F000000}">
    <filterColumn colId="4" showButton="0"/>
  </autoFilter>
  <mergeCells count="15">
    <mergeCell ref="B3:B4"/>
    <mergeCell ref="C3:C4"/>
    <mergeCell ref="E3:E4"/>
    <mergeCell ref="F3:G3"/>
    <mergeCell ref="H3:H4"/>
    <mergeCell ref="D3:D4"/>
    <mergeCell ref="O3:O4"/>
    <mergeCell ref="P3:P4"/>
    <mergeCell ref="Q3:Q4"/>
    <mergeCell ref="I3:I4"/>
    <mergeCell ref="J3:J4"/>
    <mergeCell ref="L3:L4"/>
    <mergeCell ref="K3:K4"/>
    <mergeCell ref="M3:M4"/>
    <mergeCell ref="N3:N4"/>
  </mergeCells>
  <phoneticPr fontId="4"/>
  <hyperlinks>
    <hyperlink ref="A1" location="目次!A1" display="◀" xr:uid="{00000000-0004-0000-0F00-000000000000}"/>
  </hyperlink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Q27"/>
  <sheetViews>
    <sheetView zoomScaleNormal="100" workbookViewId="0">
      <selection activeCell="H11" sqref="H11"/>
    </sheetView>
  </sheetViews>
  <sheetFormatPr defaultRowHeight="17.649999999999999"/>
  <cols>
    <col min="2" max="2" width="4.75" customWidth="1"/>
    <col min="3" max="3" width="13" bestFit="1" customWidth="1"/>
    <col min="6" max="6" width="9" style="49"/>
    <col min="7" max="7" width="37.875" customWidth="1"/>
    <col min="8" max="8" width="11.125" bestFit="1" customWidth="1"/>
    <col min="9" max="9" width="4.75" customWidth="1"/>
    <col min="11" max="11" width="4.75" customWidth="1"/>
    <col min="12" max="12" width="7.25" bestFit="1" customWidth="1"/>
    <col min="13" max="15" width="9.125" bestFit="1" customWidth="1"/>
    <col min="16" max="16" width="11.125" bestFit="1" customWidth="1"/>
    <col min="17" max="17" width="27" customWidth="1"/>
  </cols>
  <sheetData>
    <row r="1" spans="1:17" s="63" customFormat="1">
      <c r="A1" s="74" t="s">
        <v>32</v>
      </c>
      <c r="C1" s="63" t="s">
        <v>22</v>
      </c>
      <c r="F1" s="70"/>
    </row>
    <row r="3" spans="1:17" s="44" customFormat="1" ht="35.25">
      <c r="B3" s="45" t="s">
        <v>79</v>
      </c>
      <c r="C3" s="45" t="s">
        <v>80</v>
      </c>
      <c r="D3" s="45" t="s">
        <v>97</v>
      </c>
      <c r="E3" s="45" t="s">
        <v>81</v>
      </c>
      <c r="F3" s="47" t="s">
        <v>98</v>
      </c>
      <c r="G3" s="45" t="s">
        <v>99</v>
      </c>
      <c r="H3" s="45" t="s">
        <v>85</v>
      </c>
      <c r="I3" s="46" t="s">
        <v>100</v>
      </c>
      <c r="J3" s="45" t="s">
        <v>87</v>
      </c>
      <c r="K3" s="46" t="s">
        <v>101</v>
      </c>
      <c r="L3" s="45" t="s">
        <v>89</v>
      </c>
      <c r="M3" s="45" t="s">
        <v>90</v>
      </c>
      <c r="N3" s="45" t="s">
        <v>102</v>
      </c>
      <c r="O3" s="45" t="s">
        <v>91</v>
      </c>
      <c r="P3" s="45" t="s">
        <v>92</v>
      </c>
      <c r="Q3" s="45" t="s">
        <v>93</v>
      </c>
    </row>
    <row r="4" spans="1:17">
      <c r="B4" s="1">
        <v>1</v>
      </c>
      <c r="C4" s="1"/>
      <c r="D4" s="1"/>
      <c r="E4" s="1"/>
      <c r="F4" s="48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>
      <c r="B5" s="1">
        <v>2</v>
      </c>
      <c r="C5" s="1"/>
      <c r="D5" s="1"/>
      <c r="E5" s="1"/>
      <c r="F5" s="48"/>
      <c r="H5" s="50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3</v>
      </c>
      <c r="C6" s="1"/>
      <c r="D6" s="1"/>
      <c r="E6" s="1"/>
      <c r="F6" s="48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4</v>
      </c>
      <c r="C7" s="1"/>
      <c r="D7" s="1"/>
      <c r="E7" s="1"/>
      <c r="F7" s="48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5</v>
      </c>
      <c r="C8" s="1"/>
      <c r="D8" s="1"/>
      <c r="E8" s="1"/>
      <c r="F8" s="48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6</v>
      </c>
      <c r="C9" s="1"/>
      <c r="D9" s="1"/>
      <c r="E9" s="1"/>
      <c r="F9" s="48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7</v>
      </c>
      <c r="C10" s="1"/>
      <c r="D10" s="1"/>
      <c r="E10" s="1"/>
      <c r="F10" s="48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8</v>
      </c>
      <c r="C11" s="1"/>
      <c r="D11" s="1"/>
      <c r="E11" s="1"/>
      <c r="F11" s="48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/>
      <c r="C12" s="1"/>
      <c r="D12" s="1"/>
      <c r="E12" s="1"/>
      <c r="F12" s="48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/>
      <c r="C13" s="1"/>
      <c r="D13" s="1"/>
      <c r="E13" s="1"/>
      <c r="F13" s="4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/>
      <c r="C14" s="1"/>
      <c r="D14" s="1"/>
      <c r="E14" s="1"/>
      <c r="F14" s="4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/>
      <c r="C15" s="1"/>
      <c r="D15" s="1"/>
      <c r="E15" s="1"/>
      <c r="F15" s="4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/>
      <c r="C16" s="1"/>
      <c r="D16" s="1"/>
      <c r="E16" s="1"/>
      <c r="F16" s="4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/>
      <c r="C17" s="1"/>
      <c r="D17" s="1"/>
      <c r="E17" s="1"/>
      <c r="F17" s="48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/>
      <c r="C18" s="1"/>
      <c r="D18" s="1"/>
      <c r="E18" s="1"/>
      <c r="F18" s="4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/>
      <c r="C19" s="1"/>
      <c r="D19" s="1"/>
      <c r="E19" s="1"/>
      <c r="F19" s="48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/>
      <c r="C20" s="1"/>
      <c r="D20" s="1"/>
      <c r="E20" s="1"/>
      <c r="F20" s="48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/>
      <c r="C21" s="1"/>
      <c r="D21" s="1"/>
      <c r="E21" s="1"/>
      <c r="F21" s="4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/>
      <c r="C22" s="1"/>
      <c r="D22" s="1"/>
      <c r="E22" s="1"/>
      <c r="F22" s="4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/>
      <c r="C23" s="1"/>
      <c r="D23" s="1"/>
      <c r="E23" s="1"/>
      <c r="F23" s="48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/>
      <c r="C24" s="1"/>
      <c r="D24" s="1"/>
      <c r="E24" s="1"/>
      <c r="F24" s="48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/>
      <c r="C25" s="1"/>
      <c r="D25" s="1"/>
      <c r="E25" s="1"/>
      <c r="F25" s="4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/>
      <c r="C26" s="1"/>
      <c r="D26" s="1"/>
      <c r="E26" s="1"/>
      <c r="F26" s="48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/>
      <c r="C27" s="1"/>
      <c r="D27" s="1"/>
      <c r="E27" s="1"/>
      <c r="F27" s="48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</sheetData>
  <autoFilter ref="B3:Q3" xr:uid="{00000000-0009-0000-0000-00000E000000}"/>
  <phoneticPr fontId="4"/>
  <hyperlinks>
    <hyperlink ref="A1" location="目次!A1" display="◀" xr:uid="{00000000-0004-0000-0E00-000000000000}"/>
  </hyperlink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I36"/>
  <sheetViews>
    <sheetView workbookViewId="0">
      <selection activeCell="P8" sqref="P8"/>
    </sheetView>
  </sheetViews>
  <sheetFormatPr defaultRowHeight="17.649999999999999"/>
  <cols>
    <col min="1" max="1" width="5.25" bestFit="1" customWidth="1"/>
    <col min="2" max="2" width="3.5" bestFit="1" customWidth="1"/>
    <col min="3" max="3" width="5.5" bestFit="1" customWidth="1"/>
    <col min="4" max="4" width="3.5" bestFit="1" customWidth="1"/>
    <col min="5" max="5" width="9" bestFit="1" customWidth="1"/>
    <col min="6" max="6" width="5.25" bestFit="1" customWidth="1"/>
    <col min="7" max="7" width="31.75" bestFit="1" customWidth="1"/>
  </cols>
  <sheetData>
    <row r="1" spans="1:9" s="63" customFormat="1">
      <c r="A1" s="74" t="s">
        <v>32</v>
      </c>
      <c r="C1" s="109" t="s">
        <v>103</v>
      </c>
      <c r="D1" s="109"/>
      <c r="E1" s="109"/>
    </row>
    <row r="3" spans="1:9">
      <c r="C3" s="181" t="s">
        <v>103</v>
      </c>
      <c r="D3" s="181"/>
      <c r="E3" s="181"/>
    </row>
    <row r="4" spans="1:9">
      <c r="B4" s="182" t="s">
        <v>104</v>
      </c>
      <c r="C4" s="182"/>
      <c r="D4" s="39"/>
      <c r="E4" s="39"/>
    </row>
    <row r="5" spans="1:9">
      <c r="B5" s="165" t="s">
        <v>105</v>
      </c>
      <c r="C5" s="165"/>
      <c r="D5" s="1" t="s">
        <v>106</v>
      </c>
      <c r="E5" s="1" t="s">
        <v>107</v>
      </c>
      <c r="F5" s="1" t="s">
        <v>108</v>
      </c>
      <c r="G5" s="1" t="s">
        <v>82</v>
      </c>
      <c r="H5" s="1" t="s">
        <v>109</v>
      </c>
      <c r="I5" s="1"/>
    </row>
    <row r="6" spans="1:9">
      <c r="B6" s="1" t="str">
        <f>IF(C6="","","・")</f>
        <v>・</v>
      </c>
      <c r="C6" s="8">
        <v>0</v>
      </c>
      <c r="D6" s="1" t="str">
        <f>IF(F6&gt;1,"～","")</f>
        <v/>
      </c>
      <c r="E6" s="1" t="str">
        <f>IF(F6&gt;1,C6+F6-1,"")</f>
        <v/>
      </c>
      <c r="F6" s="1"/>
      <c r="G6" s="1"/>
      <c r="H6" s="1"/>
      <c r="I6" s="1"/>
    </row>
    <row r="7" spans="1:9">
      <c r="B7" s="1" t="str">
        <f t="shared" ref="B7:B36" si="0">IF(C7="","","・")</f>
        <v>・</v>
      </c>
      <c r="C7" s="1">
        <v>100</v>
      </c>
      <c r="D7" s="1" t="str">
        <f t="shared" ref="D7:D11" si="1">IF(F7&gt;1,"～","")</f>
        <v/>
      </c>
      <c r="E7" s="1" t="str">
        <f t="shared" ref="E7:E11" si="2">IF(F7&gt;1,C7+F7-1,"")</f>
        <v/>
      </c>
      <c r="F7" s="1"/>
      <c r="G7" s="1"/>
      <c r="H7" s="1"/>
      <c r="I7" s="1"/>
    </row>
    <row r="8" spans="1:9">
      <c r="B8" s="1" t="str">
        <f t="shared" si="0"/>
        <v>・</v>
      </c>
      <c r="C8" s="1">
        <v>200</v>
      </c>
      <c r="D8" s="1" t="str">
        <f t="shared" si="1"/>
        <v/>
      </c>
      <c r="E8" s="1" t="str">
        <f t="shared" si="2"/>
        <v/>
      </c>
      <c r="F8" s="1"/>
      <c r="G8" s="1"/>
      <c r="H8" s="1"/>
      <c r="I8" s="1"/>
    </row>
    <row r="9" spans="1:9">
      <c r="B9" s="1" t="str">
        <f t="shared" si="0"/>
        <v>・</v>
      </c>
      <c r="C9" s="1">
        <v>300</v>
      </c>
      <c r="D9" s="1" t="str">
        <f t="shared" si="1"/>
        <v/>
      </c>
      <c r="E9" s="1" t="str">
        <f t="shared" si="2"/>
        <v/>
      </c>
      <c r="F9" s="1"/>
      <c r="G9" s="1"/>
      <c r="H9" s="1"/>
      <c r="I9" s="1"/>
    </row>
    <row r="10" spans="1:9">
      <c r="B10" s="1" t="str">
        <f t="shared" si="0"/>
        <v>・</v>
      </c>
      <c r="C10" s="1">
        <v>500</v>
      </c>
      <c r="D10" s="1" t="str">
        <f t="shared" si="1"/>
        <v/>
      </c>
      <c r="E10" s="1" t="str">
        <f t="shared" si="2"/>
        <v/>
      </c>
      <c r="F10" s="1"/>
      <c r="G10" s="1"/>
      <c r="H10" s="1"/>
      <c r="I10" s="1"/>
    </row>
    <row r="11" spans="1:9">
      <c r="B11" s="1" t="str">
        <f t="shared" si="0"/>
        <v>・</v>
      </c>
      <c r="C11" s="1">
        <v>501</v>
      </c>
      <c r="D11" s="1" t="str">
        <f t="shared" si="1"/>
        <v/>
      </c>
      <c r="E11" s="1" t="str">
        <f t="shared" si="2"/>
        <v/>
      </c>
      <c r="F11" s="1"/>
      <c r="G11" s="1"/>
      <c r="H11" s="1"/>
      <c r="I11" s="1"/>
    </row>
    <row r="12" spans="1:9">
      <c r="B12" s="1" t="str">
        <f t="shared" si="0"/>
        <v>・</v>
      </c>
      <c r="C12" s="1">
        <v>502</v>
      </c>
      <c r="D12" s="1" t="str">
        <f t="shared" ref="D12:D13" si="3">IF(F12&gt;1,"～","")</f>
        <v/>
      </c>
      <c r="E12" s="1" t="str">
        <f t="shared" ref="E12:E13" si="4">IF(F12&gt;1,C12+F12-1,"")</f>
        <v/>
      </c>
      <c r="F12" s="1"/>
      <c r="G12" s="1"/>
      <c r="H12" s="1"/>
      <c r="I12" s="1"/>
    </row>
    <row r="13" spans="1:9">
      <c r="B13" s="1" t="str">
        <f t="shared" si="0"/>
        <v>・</v>
      </c>
      <c r="C13" s="1">
        <v>503</v>
      </c>
      <c r="D13" s="1" t="str">
        <f t="shared" si="3"/>
        <v/>
      </c>
      <c r="E13" s="1" t="str">
        <f t="shared" si="4"/>
        <v/>
      </c>
      <c r="F13" s="1"/>
      <c r="G13" s="1"/>
      <c r="H13" s="1"/>
      <c r="I13" s="1"/>
    </row>
    <row r="14" spans="1:9">
      <c r="B14" s="1" t="str">
        <f t="shared" si="0"/>
        <v>・</v>
      </c>
      <c r="C14" s="1">
        <v>504</v>
      </c>
      <c r="D14" s="1" t="str">
        <f t="shared" ref="D14:D36" si="5">IF(F14&gt;1,"～","")</f>
        <v/>
      </c>
      <c r="E14" s="1" t="str">
        <f t="shared" ref="E14:E36" si="6">IF(F14&gt;1,C14+F14-1,"")</f>
        <v/>
      </c>
      <c r="F14" s="1"/>
      <c r="G14" s="1"/>
      <c r="H14" s="1"/>
      <c r="I14" s="1"/>
    </row>
    <row r="15" spans="1:9">
      <c r="B15" s="1" t="str">
        <f t="shared" si="0"/>
        <v>・</v>
      </c>
      <c r="C15" s="1">
        <v>505</v>
      </c>
      <c r="D15" s="1" t="str">
        <f t="shared" si="5"/>
        <v/>
      </c>
      <c r="E15" s="1" t="str">
        <f t="shared" si="6"/>
        <v/>
      </c>
      <c r="F15" s="1"/>
      <c r="G15" s="1"/>
      <c r="H15" s="1"/>
      <c r="I15" s="1"/>
    </row>
    <row r="16" spans="1:9">
      <c r="B16" s="1" t="str">
        <f t="shared" si="0"/>
        <v>・</v>
      </c>
      <c r="C16" s="1">
        <v>506</v>
      </c>
      <c r="D16" s="1" t="str">
        <f t="shared" si="5"/>
        <v/>
      </c>
      <c r="E16" s="1" t="str">
        <f t="shared" si="6"/>
        <v/>
      </c>
      <c r="F16" s="1"/>
      <c r="G16" s="1"/>
      <c r="H16" s="1"/>
      <c r="I16" s="1"/>
    </row>
    <row r="17" spans="2:9">
      <c r="B17" s="1" t="str">
        <f>IF(C17="","","・")</f>
        <v>・</v>
      </c>
      <c r="C17" s="1">
        <v>507</v>
      </c>
      <c r="D17" s="1" t="str">
        <f t="shared" si="5"/>
        <v/>
      </c>
      <c r="E17" s="1" t="str">
        <f>IF(F17&gt;1,C17+F17-1,"")</f>
        <v/>
      </c>
      <c r="F17" s="1"/>
      <c r="G17" s="1"/>
      <c r="H17" s="1"/>
      <c r="I17" s="1"/>
    </row>
    <row r="18" spans="2:9">
      <c r="B18" s="1" t="str">
        <f t="shared" ref="B18:B25" si="7">IF(C18="","","・")</f>
        <v>・</v>
      </c>
      <c r="C18" s="1">
        <v>510</v>
      </c>
      <c r="D18" s="1" t="str">
        <f t="shared" ref="D18:D25" si="8">IF(F18&gt;1,"～","")</f>
        <v/>
      </c>
      <c r="E18" s="1" t="str">
        <f t="shared" ref="E18:E25" si="9">IF(F18&gt;1,C18+F18-1,"")</f>
        <v/>
      </c>
      <c r="F18" s="1"/>
      <c r="G18" s="1"/>
      <c r="H18" s="1"/>
      <c r="I18" s="1"/>
    </row>
    <row r="19" spans="2:9">
      <c r="B19" s="1" t="str">
        <f t="shared" si="7"/>
        <v>・</v>
      </c>
      <c r="C19" s="1">
        <v>511</v>
      </c>
      <c r="D19" s="1" t="str">
        <f t="shared" si="8"/>
        <v/>
      </c>
      <c r="E19" s="1" t="str">
        <f t="shared" si="9"/>
        <v/>
      </c>
      <c r="F19" s="1"/>
      <c r="G19" s="1"/>
      <c r="H19" s="1"/>
      <c r="I19" s="1"/>
    </row>
    <row r="20" spans="2:9">
      <c r="B20" s="1" t="str">
        <f t="shared" si="7"/>
        <v>・</v>
      </c>
      <c r="C20" s="1">
        <v>512</v>
      </c>
      <c r="D20" s="1" t="str">
        <f t="shared" si="8"/>
        <v/>
      </c>
      <c r="E20" s="1" t="str">
        <f t="shared" si="9"/>
        <v/>
      </c>
      <c r="F20" s="1"/>
      <c r="G20" s="1"/>
      <c r="H20" s="1"/>
      <c r="I20" s="1"/>
    </row>
    <row r="21" spans="2:9">
      <c r="B21" s="1" t="str">
        <f t="shared" si="7"/>
        <v>・</v>
      </c>
      <c r="C21" s="1">
        <v>513</v>
      </c>
      <c r="D21" s="1" t="str">
        <f t="shared" si="8"/>
        <v/>
      </c>
      <c r="E21" s="1" t="str">
        <f t="shared" si="9"/>
        <v/>
      </c>
      <c r="F21" s="1"/>
      <c r="G21" s="1"/>
      <c r="H21" s="1"/>
      <c r="I21" s="1"/>
    </row>
    <row r="22" spans="2:9">
      <c r="B22" s="1" t="str">
        <f t="shared" si="7"/>
        <v>・</v>
      </c>
      <c r="C22" s="1">
        <v>514</v>
      </c>
      <c r="D22" s="1" t="str">
        <f t="shared" si="8"/>
        <v/>
      </c>
      <c r="E22" s="1" t="str">
        <f t="shared" si="9"/>
        <v/>
      </c>
      <c r="F22" s="1"/>
      <c r="G22" s="1"/>
      <c r="H22" s="1"/>
      <c r="I22" s="1"/>
    </row>
    <row r="23" spans="2:9">
      <c r="B23" s="1" t="str">
        <f t="shared" si="7"/>
        <v>・</v>
      </c>
      <c r="C23" s="1">
        <v>515</v>
      </c>
      <c r="D23" s="1" t="str">
        <f t="shared" si="8"/>
        <v/>
      </c>
      <c r="E23" s="1" t="str">
        <f t="shared" si="9"/>
        <v/>
      </c>
      <c r="F23" s="1"/>
      <c r="G23" s="1"/>
      <c r="H23" s="1"/>
      <c r="I23" s="1"/>
    </row>
    <row r="24" spans="2:9">
      <c r="B24" s="1" t="str">
        <f t="shared" si="7"/>
        <v>・</v>
      </c>
      <c r="C24" s="1">
        <v>516</v>
      </c>
      <c r="D24" s="1" t="str">
        <f t="shared" si="8"/>
        <v/>
      </c>
      <c r="E24" s="1" t="str">
        <f t="shared" si="9"/>
        <v/>
      </c>
      <c r="F24" s="1"/>
      <c r="G24" s="1"/>
      <c r="H24" s="1"/>
      <c r="I24" s="1"/>
    </row>
    <row r="25" spans="2:9">
      <c r="B25" s="1" t="str">
        <f t="shared" si="7"/>
        <v>・</v>
      </c>
      <c r="C25" s="1">
        <v>517</v>
      </c>
      <c r="D25" s="1" t="str">
        <f t="shared" si="8"/>
        <v/>
      </c>
      <c r="E25" s="1" t="str">
        <f t="shared" si="9"/>
        <v/>
      </c>
      <c r="F25" s="1"/>
      <c r="G25" s="1"/>
      <c r="H25" s="1"/>
      <c r="I25" s="1"/>
    </row>
    <row r="26" spans="2:9">
      <c r="B26" s="1" t="str">
        <f>IF(C26="","","・")</f>
        <v>・</v>
      </c>
      <c r="C26" s="1">
        <v>1000</v>
      </c>
      <c r="D26" s="1" t="str">
        <f t="shared" si="5"/>
        <v/>
      </c>
      <c r="E26" s="1"/>
      <c r="F26" s="1"/>
      <c r="G26" s="1"/>
      <c r="H26" s="1"/>
      <c r="I26" s="1"/>
    </row>
    <row r="27" spans="2:9">
      <c r="B27" s="1" t="str">
        <f>IF(C27="","","・")</f>
        <v>・</v>
      </c>
      <c r="C27" s="1">
        <v>1005</v>
      </c>
      <c r="D27" s="1" t="str">
        <f t="shared" si="5"/>
        <v/>
      </c>
      <c r="E27" s="1"/>
      <c r="F27" s="1"/>
      <c r="G27" s="1"/>
      <c r="H27" s="1"/>
      <c r="I27" s="1"/>
    </row>
    <row r="28" spans="2:9">
      <c r="B28" s="1" t="str">
        <f t="shared" si="0"/>
        <v>・</v>
      </c>
      <c r="C28" s="1">
        <v>1010</v>
      </c>
      <c r="D28" s="1" t="str">
        <f t="shared" si="5"/>
        <v/>
      </c>
      <c r="E28" s="1"/>
      <c r="F28" s="1"/>
      <c r="G28" s="1"/>
      <c r="H28" s="1"/>
      <c r="I28" s="1"/>
    </row>
    <row r="29" spans="2:9">
      <c r="B29" s="1" t="str">
        <f t="shared" si="0"/>
        <v/>
      </c>
      <c r="C29" s="1"/>
      <c r="D29" s="1" t="str">
        <f t="shared" si="5"/>
        <v/>
      </c>
      <c r="E29" s="1" t="str">
        <f t="shared" si="6"/>
        <v/>
      </c>
      <c r="F29" s="1"/>
      <c r="G29" s="1"/>
      <c r="H29" s="1"/>
      <c r="I29" s="1"/>
    </row>
    <row r="30" spans="2:9">
      <c r="B30" s="1" t="str">
        <f t="shared" si="0"/>
        <v/>
      </c>
      <c r="C30" s="1"/>
      <c r="D30" s="1" t="str">
        <f t="shared" si="5"/>
        <v/>
      </c>
      <c r="E30" s="1" t="str">
        <f t="shared" si="6"/>
        <v/>
      </c>
      <c r="F30" s="1"/>
      <c r="G30" s="1"/>
      <c r="H30" s="1"/>
      <c r="I30" s="1"/>
    </row>
    <row r="31" spans="2:9">
      <c r="B31" s="1" t="str">
        <f t="shared" si="0"/>
        <v/>
      </c>
      <c r="C31" s="1"/>
      <c r="D31" s="1" t="str">
        <f t="shared" si="5"/>
        <v/>
      </c>
      <c r="E31" s="1" t="str">
        <f t="shared" si="6"/>
        <v/>
      </c>
      <c r="F31" s="1"/>
      <c r="G31" s="1"/>
      <c r="H31" s="1"/>
      <c r="I31" s="1"/>
    </row>
    <row r="32" spans="2:9">
      <c r="B32" s="1" t="str">
        <f t="shared" si="0"/>
        <v/>
      </c>
      <c r="C32" s="1"/>
      <c r="D32" s="1" t="str">
        <f t="shared" si="5"/>
        <v/>
      </c>
      <c r="E32" s="1" t="str">
        <f t="shared" si="6"/>
        <v/>
      </c>
      <c r="F32" s="1"/>
      <c r="G32" s="1"/>
      <c r="H32" s="1"/>
      <c r="I32" s="1"/>
    </row>
    <row r="33" spans="2:9">
      <c r="B33" s="1" t="str">
        <f t="shared" si="0"/>
        <v/>
      </c>
      <c r="C33" s="1"/>
      <c r="D33" s="1" t="str">
        <f t="shared" si="5"/>
        <v/>
      </c>
      <c r="E33" s="1" t="str">
        <f t="shared" si="6"/>
        <v/>
      </c>
      <c r="F33" s="1"/>
      <c r="G33" s="1"/>
      <c r="H33" s="1"/>
      <c r="I33" s="1"/>
    </row>
    <row r="34" spans="2:9">
      <c r="B34" s="1" t="str">
        <f t="shared" si="0"/>
        <v/>
      </c>
      <c r="C34" s="1"/>
      <c r="D34" s="1" t="str">
        <f t="shared" si="5"/>
        <v/>
      </c>
      <c r="E34" s="1" t="str">
        <f t="shared" si="6"/>
        <v/>
      </c>
      <c r="F34" s="1"/>
      <c r="G34" s="1"/>
      <c r="H34" s="1"/>
      <c r="I34" s="1"/>
    </row>
    <row r="35" spans="2:9">
      <c r="B35" s="1" t="str">
        <f t="shared" si="0"/>
        <v/>
      </c>
      <c r="C35" s="1"/>
      <c r="D35" s="1" t="str">
        <f t="shared" si="5"/>
        <v/>
      </c>
      <c r="E35" s="1" t="str">
        <f t="shared" si="6"/>
        <v/>
      </c>
      <c r="F35" s="1"/>
      <c r="G35" s="1"/>
      <c r="H35" s="1"/>
      <c r="I35" s="1"/>
    </row>
    <row r="36" spans="2:9">
      <c r="B36" s="1" t="str">
        <f t="shared" si="0"/>
        <v/>
      </c>
      <c r="C36" s="1"/>
      <c r="D36" s="1" t="str">
        <f t="shared" si="5"/>
        <v/>
      </c>
      <c r="E36" s="1" t="str">
        <f t="shared" si="6"/>
        <v/>
      </c>
      <c r="F36" s="1"/>
      <c r="G36" s="1"/>
      <c r="H36" s="1"/>
      <c r="I36" s="1"/>
    </row>
  </sheetData>
  <mergeCells count="4">
    <mergeCell ref="C3:E3"/>
    <mergeCell ref="C1:E1"/>
    <mergeCell ref="B5:C5"/>
    <mergeCell ref="B4:C4"/>
  </mergeCells>
  <phoneticPr fontId="4"/>
  <conditionalFormatting sqref="D6:D36">
    <cfRule type="cellIs" dxfId="3" priority="1" operator="notEqual">
      <formula>"～"</formula>
    </cfRule>
    <cfRule type="cellIs" dxfId="2" priority="2" operator="equal">
      <formula>"～"</formula>
    </cfRule>
  </conditionalFormatting>
  <conditionalFormatting sqref="E6:E36">
    <cfRule type="cellIs" dxfId="1" priority="3" operator="between">
      <formula>0</formula>
      <formula>4095</formula>
    </cfRule>
    <cfRule type="cellIs" dxfId="0" priority="4" operator="notBetween">
      <formula>0</formula>
      <formula>4095</formula>
    </cfRule>
  </conditionalFormatting>
  <hyperlinks>
    <hyperlink ref="A1" location="目次!A1" display="◀" xr:uid="{00000000-0004-0000-1300-000000000000}"/>
  </hyperlink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28"/>
  <sheetViews>
    <sheetView workbookViewId="0">
      <selection activeCell="J10" sqref="J10"/>
    </sheetView>
  </sheetViews>
  <sheetFormatPr defaultRowHeight="17.649999999999999"/>
  <cols>
    <col min="1" max="1" width="5.25" bestFit="1" customWidth="1"/>
    <col min="2" max="2" width="3.5" bestFit="1" customWidth="1"/>
    <col min="3" max="3" width="13" bestFit="1" customWidth="1"/>
    <col min="4" max="4" width="56.75" bestFit="1" customWidth="1"/>
    <col min="5" max="5" width="13.625" bestFit="1" customWidth="1"/>
    <col min="7" max="7" width="3.5" bestFit="1" customWidth="1"/>
    <col min="8" max="8" width="14.375" bestFit="1" customWidth="1"/>
    <col min="9" max="9" width="19.25" bestFit="1" customWidth="1"/>
    <col min="10" max="10" width="102.5" bestFit="1" customWidth="1"/>
  </cols>
  <sheetData>
    <row r="1" spans="1:10" s="63" customFormat="1">
      <c r="A1" s="74" t="s">
        <v>32</v>
      </c>
      <c r="C1" s="121" t="s">
        <v>110</v>
      </c>
      <c r="D1" s="121"/>
      <c r="E1" s="121"/>
      <c r="F1" s="121"/>
      <c r="G1" s="121"/>
    </row>
    <row r="3" spans="1:10">
      <c r="C3" s="71" t="s">
        <v>111</v>
      </c>
      <c r="D3" s="71"/>
      <c r="E3" s="71" t="s">
        <v>112</v>
      </c>
      <c r="H3" s="71" t="s">
        <v>113</v>
      </c>
      <c r="I3" s="71"/>
      <c r="J3" s="71"/>
    </row>
    <row r="4" spans="1:10">
      <c r="B4" t="s">
        <v>29</v>
      </c>
      <c r="C4" s="1"/>
      <c r="D4" s="1"/>
      <c r="E4" s="1"/>
      <c r="G4" t="s">
        <v>29</v>
      </c>
      <c r="H4" s="1"/>
      <c r="I4" s="1"/>
      <c r="J4" s="1"/>
    </row>
    <row r="5" spans="1:10">
      <c r="B5" t="s">
        <v>29</v>
      </c>
      <c r="C5" s="1"/>
      <c r="D5" s="1"/>
      <c r="E5" s="1"/>
      <c r="G5" t="s">
        <v>29</v>
      </c>
      <c r="H5" s="1"/>
      <c r="I5" s="1"/>
      <c r="J5" s="1"/>
    </row>
    <row r="6" spans="1:10">
      <c r="B6" t="s">
        <v>29</v>
      </c>
      <c r="C6" s="1"/>
      <c r="D6" s="1"/>
      <c r="E6" s="1"/>
      <c r="G6" t="s">
        <v>29</v>
      </c>
      <c r="H6" s="1"/>
      <c r="I6" s="1"/>
      <c r="J6" s="1"/>
    </row>
    <row r="7" spans="1:10">
      <c r="B7" t="s">
        <v>29</v>
      </c>
      <c r="C7" s="1"/>
      <c r="D7" s="1"/>
      <c r="E7" s="1"/>
      <c r="G7" t="s">
        <v>29</v>
      </c>
      <c r="H7" s="1"/>
      <c r="I7" s="1"/>
      <c r="J7" s="1"/>
    </row>
    <row r="8" spans="1:10">
      <c r="B8" t="s">
        <v>29</v>
      </c>
      <c r="C8" s="1"/>
      <c r="D8" s="1"/>
      <c r="E8" s="1"/>
      <c r="G8" t="s">
        <v>29</v>
      </c>
      <c r="H8" s="1"/>
      <c r="I8" s="1"/>
      <c r="J8" s="1"/>
    </row>
    <row r="9" spans="1:10">
      <c r="B9" t="s">
        <v>29</v>
      </c>
      <c r="C9" s="1"/>
      <c r="D9" s="1"/>
      <c r="E9" s="1"/>
      <c r="G9" t="s">
        <v>29</v>
      </c>
      <c r="H9" s="1"/>
      <c r="I9" s="1"/>
      <c r="J9" s="1"/>
    </row>
    <row r="10" spans="1:10">
      <c r="B10" t="s">
        <v>29</v>
      </c>
      <c r="C10" s="1"/>
      <c r="D10" s="1"/>
      <c r="E10" s="1"/>
      <c r="G10" t="s">
        <v>29</v>
      </c>
      <c r="H10" s="1"/>
      <c r="I10" s="1"/>
      <c r="J10" s="1"/>
    </row>
    <row r="11" spans="1:10">
      <c r="B11" t="s">
        <v>29</v>
      </c>
      <c r="C11" s="1"/>
      <c r="D11" s="1"/>
      <c r="E11" s="1"/>
      <c r="G11" t="s">
        <v>29</v>
      </c>
      <c r="H11" s="1"/>
      <c r="I11" s="1"/>
      <c r="J11" s="1"/>
    </row>
    <row r="12" spans="1:10">
      <c r="B12" t="s">
        <v>29</v>
      </c>
      <c r="C12" s="1"/>
      <c r="D12" s="1"/>
      <c r="E12" s="1"/>
      <c r="G12" t="s">
        <v>29</v>
      </c>
      <c r="H12" s="1"/>
      <c r="I12" s="1"/>
      <c r="J12" s="1"/>
    </row>
    <row r="13" spans="1:10">
      <c r="B13" t="s">
        <v>29</v>
      </c>
      <c r="C13" s="1"/>
      <c r="D13" s="1"/>
      <c r="E13" s="1"/>
      <c r="G13" t="s">
        <v>29</v>
      </c>
      <c r="H13" s="1"/>
      <c r="I13" s="1"/>
      <c r="J13" s="1"/>
    </row>
    <row r="14" spans="1:10">
      <c r="B14" t="s">
        <v>29</v>
      </c>
      <c r="C14" s="1"/>
      <c r="D14" s="1"/>
      <c r="E14" s="1"/>
      <c r="G14" t="s">
        <v>29</v>
      </c>
      <c r="H14" s="1"/>
      <c r="I14" s="1"/>
      <c r="J14" s="1"/>
    </row>
    <row r="15" spans="1:10">
      <c r="C15" s="1"/>
      <c r="D15" s="1"/>
      <c r="E15" s="1"/>
      <c r="H15" s="1"/>
      <c r="I15" s="1"/>
      <c r="J15" s="1"/>
    </row>
    <row r="16" spans="1:10">
      <c r="C16" s="1"/>
      <c r="D16" s="1"/>
      <c r="E16" s="1"/>
      <c r="H16" s="1"/>
      <c r="I16" s="1"/>
      <c r="J16" s="1"/>
    </row>
    <row r="17" spans="3:10">
      <c r="C17" s="1"/>
      <c r="D17" s="1"/>
      <c r="E17" s="1"/>
      <c r="H17" s="1"/>
      <c r="I17" s="1"/>
      <c r="J17" s="1"/>
    </row>
    <row r="18" spans="3:10">
      <c r="C18" s="1"/>
      <c r="D18" s="1"/>
      <c r="E18" s="1"/>
      <c r="H18" s="1"/>
      <c r="I18" s="1"/>
      <c r="J18" s="1"/>
    </row>
    <row r="19" spans="3:10">
      <c r="C19" s="1"/>
      <c r="D19" s="1"/>
      <c r="E19" s="1"/>
      <c r="H19" s="1"/>
      <c r="I19" s="1"/>
      <c r="J19" s="1"/>
    </row>
    <row r="20" spans="3:10">
      <c r="C20" s="1"/>
      <c r="D20" s="1"/>
      <c r="E20" s="1"/>
      <c r="H20" s="1"/>
      <c r="I20" s="1"/>
      <c r="J20" s="1"/>
    </row>
    <row r="21" spans="3:10">
      <c r="C21" s="1"/>
      <c r="D21" s="1"/>
      <c r="E21" s="1"/>
      <c r="H21" s="1"/>
      <c r="I21" s="1"/>
      <c r="J21" s="1"/>
    </row>
    <row r="22" spans="3:10">
      <c r="C22" s="1"/>
      <c r="D22" s="1"/>
      <c r="E22" s="1"/>
      <c r="H22" s="1"/>
      <c r="I22" s="1"/>
      <c r="J22" s="1"/>
    </row>
    <row r="23" spans="3:10">
      <c r="C23" s="1"/>
      <c r="D23" s="1"/>
      <c r="E23" s="1"/>
      <c r="H23" s="1"/>
      <c r="I23" s="1"/>
      <c r="J23" s="1"/>
    </row>
    <row r="24" spans="3:10">
      <c r="C24" s="1"/>
      <c r="D24" s="1"/>
      <c r="E24" s="1"/>
      <c r="H24" s="1"/>
      <c r="I24" s="1"/>
      <c r="J24" s="1"/>
    </row>
    <row r="25" spans="3:10">
      <c r="C25" s="1"/>
      <c r="D25" s="1"/>
      <c r="E25" s="1"/>
      <c r="H25" s="1"/>
      <c r="I25" s="1"/>
      <c r="J25" s="1"/>
    </row>
    <row r="26" spans="3:10">
      <c r="C26" s="1"/>
      <c r="D26" s="1"/>
      <c r="E26" s="1"/>
      <c r="H26" s="1"/>
      <c r="I26" s="1"/>
      <c r="J26" s="1"/>
    </row>
    <row r="27" spans="3:10">
      <c r="C27" s="1"/>
      <c r="D27" s="1"/>
      <c r="E27" s="1"/>
      <c r="H27" s="1"/>
      <c r="I27" s="1"/>
      <c r="J27" s="1"/>
    </row>
    <row r="28" spans="3:10">
      <c r="C28" s="1"/>
      <c r="D28" s="1"/>
      <c r="E28" s="1"/>
      <c r="H28" s="1"/>
      <c r="I28" s="1"/>
      <c r="J28" s="1"/>
    </row>
  </sheetData>
  <mergeCells count="1">
    <mergeCell ref="C1:G1"/>
  </mergeCells>
  <phoneticPr fontId="4"/>
  <hyperlinks>
    <hyperlink ref="A1" location="目次!A1" display="◀" xr:uid="{00000000-0004-0000-1000-000000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40"/>
  <sheetViews>
    <sheetView workbookViewId="0"/>
  </sheetViews>
  <sheetFormatPr defaultColWidth="9" defaultRowHeight="18" customHeight="1"/>
  <cols>
    <col min="1" max="1" width="5.25" style="17" bestFit="1" customWidth="1"/>
    <col min="2" max="2" width="4.75" style="17" customWidth="1"/>
    <col min="3" max="3" width="31.25" style="17" bestFit="1" customWidth="1"/>
    <col min="4" max="4" width="5.25" style="17" bestFit="1" customWidth="1"/>
    <col min="5" max="7" width="7.125" style="17" customWidth="1"/>
    <col min="8" max="8" width="85.125" style="17" bestFit="1" customWidth="1"/>
    <col min="9" max="16384" width="9" style="17"/>
  </cols>
  <sheetData>
    <row r="1" spans="1:8" s="63" customFormat="1" ht="17.649999999999999">
      <c r="A1" s="74" t="s">
        <v>32</v>
      </c>
      <c r="C1" s="62" t="s">
        <v>114</v>
      </c>
    </row>
    <row r="3" spans="1:8" ht="18" customHeight="1">
      <c r="C3" s="72" t="s">
        <v>115</v>
      </c>
      <c r="D3" s="72" t="s">
        <v>116</v>
      </c>
      <c r="E3" s="72" t="s">
        <v>117</v>
      </c>
      <c r="F3" s="72" t="s">
        <v>118</v>
      </c>
      <c r="G3" s="72" t="s">
        <v>119</v>
      </c>
      <c r="H3" s="72" t="s">
        <v>120</v>
      </c>
    </row>
    <row r="4" spans="1:8" ht="18" customHeight="1">
      <c r="C4" s="18"/>
      <c r="D4" s="18"/>
      <c r="E4" s="18"/>
      <c r="F4" s="18"/>
      <c r="G4" s="18"/>
      <c r="H4" s="18"/>
    </row>
    <row r="5" spans="1:8" ht="18" customHeight="1">
      <c r="C5" s="18"/>
      <c r="D5" s="18"/>
      <c r="E5" s="18"/>
      <c r="F5" s="18"/>
      <c r="G5" s="18"/>
      <c r="H5" s="18"/>
    </row>
    <row r="6" spans="1:8" ht="18" customHeight="1">
      <c r="C6" s="18"/>
      <c r="D6" s="18"/>
      <c r="E6" s="18"/>
      <c r="F6" s="18"/>
      <c r="G6" s="18"/>
      <c r="H6" s="18"/>
    </row>
    <row r="7" spans="1:8" ht="18" customHeight="1">
      <c r="C7" s="18"/>
      <c r="D7" s="18"/>
      <c r="E7" s="18"/>
      <c r="F7" s="18"/>
      <c r="G7" s="18"/>
      <c r="H7" s="18"/>
    </row>
    <row r="8" spans="1:8" ht="18" customHeight="1">
      <c r="C8" s="18"/>
      <c r="D8" s="18"/>
      <c r="E8" s="18"/>
      <c r="F8" s="18"/>
      <c r="G8" s="18"/>
      <c r="H8" s="18"/>
    </row>
    <row r="9" spans="1:8" ht="18" customHeight="1">
      <c r="C9" s="18"/>
      <c r="D9" s="18"/>
      <c r="E9" s="18"/>
      <c r="F9" s="18"/>
      <c r="G9" s="18"/>
      <c r="H9" s="18"/>
    </row>
    <row r="10" spans="1:8" ht="18" customHeight="1">
      <c r="C10" s="18"/>
      <c r="D10" s="18"/>
      <c r="E10" s="18"/>
      <c r="F10" s="18"/>
      <c r="G10" s="18"/>
      <c r="H10" s="18"/>
    </row>
    <row r="11" spans="1:8" ht="18" customHeight="1">
      <c r="C11" s="18"/>
      <c r="D11" s="18"/>
      <c r="E11" s="18"/>
      <c r="F11" s="18"/>
      <c r="G11" s="18"/>
      <c r="H11" s="18"/>
    </row>
    <row r="12" spans="1:8" ht="18" customHeight="1">
      <c r="C12" s="18"/>
      <c r="D12" s="18"/>
      <c r="E12" s="18"/>
      <c r="F12" s="18"/>
      <c r="G12" s="18"/>
      <c r="H12" s="18"/>
    </row>
    <row r="13" spans="1:8" ht="18" customHeight="1">
      <c r="C13" s="18"/>
      <c r="D13" s="18"/>
      <c r="E13" s="18"/>
      <c r="F13" s="18"/>
      <c r="G13" s="18"/>
      <c r="H13" s="18"/>
    </row>
    <row r="14" spans="1:8" ht="18" customHeight="1">
      <c r="C14" s="18"/>
      <c r="D14" s="18"/>
      <c r="E14" s="18"/>
      <c r="F14" s="18"/>
      <c r="G14" s="18"/>
      <c r="H14" s="18"/>
    </row>
    <row r="15" spans="1:8" ht="18" customHeight="1">
      <c r="C15" s="18"/>
      <c r="D15" s="18"/>
      <c r="E15" s="18"/>
      <c r="F15" s="18"/>
      <c r="G15" s="18"/>
      <c r="H15" s="18"/>
    </row>
    <row r="16" spans="1:8" ht="18" customHeight="1">
      <c r="C16" s="18"/>
      <c r="D16" s="18"/>
      <c r="E16" s="18"/>
      <c r="F16" s="18"/>
      <c r="G16" s="18"/>
      <c r="H16" s="18"/>
    </row>
    <row r="17" spans="3:8" ht="18" customHeight="1">
      <c r="C17" s="18"/>
      <c r="D17" s="18"/>
      <c r="E17" s="18"/>
      <c r="F17" s="18"/>
      <c r="G17" s="18"/>
      <c r="H17" s="18"/>
    </row>
    <row r="18" spans="3:8" ht="18" customHeight="1">
      <c r="C18" s="18"/>
      <c r="D18" s="18"/>
      <c r="E18" s="18"/>
      <c r="F18" s="18"/>
      <c r="G18" s="18"/>
      <c r="H18" s="18"/>
    </row>
    <row r="19" spans="3:8" ht="18" customHeight="1">
      <c r="C19" s="18"/>
      <c r="D19" s="18"/>
      <c r="E19" s="18"/>
      <c r="F19" s="18"/>
      <c r="G19" s="18"/>
      <c r="H19" s="18"/>
    </row>
    <row r="20" spans="3:8" ht="18" customHeight="1">
      <c r="C20" s="18"/>
      <c r="D20" s="18"/>
      <c r="E20" s="18"/>
      <c r="F20" s="18"/>
      <c r="G20" s="18"/>
      <c r="H20" s="18"/>
    </row>
    <row r="21" spans="3:8" ht="18" customHeight="1">
      <c r="C21" s="18"/>
      <c r="D21" s="18"/>
      <c r="E21" s="18"/>
      <c r="F21" s="18"/>
      <c r="G21" s="18"/>
      <c r="H21" s="18"/>
    </row>
    <row r="22" spans="3:8" ht="18" customHeight="1">
      <c r="C22" s="18"/>
      <c r="D22" s="18"/>
      <c r="E22" s="18"/>
      <c r="F22" s="18"/>
      <c r="G22" s="18"/>
      <c r="H22" s="18"/>
    </row>
    <row r="23" spans="3:8" ht="18" customHeight="1">
      <c r="C23" s="18"/>
      <c r="D23" s="18"/>
      <c r="E23" s="18"/>
      <c r="F23" s="18"/>
      <c r="G23" s="18"/>
      <c r="H23" s="18"/>
    </row>
    <row r="24" spans="3:8" ht="18" customHeight="1">
      <c r="C24" s="18"/>
      <c r="D24" s="18"/>
      <c r="E24" s="18"/>
      <c r="F24" s="18"/>
      <c r="G24" s="18"/>
      <c r="H24" s="18"/>
    </row>
    <row r="25" spans="3:8" ht="18" customHeight="1">
      <c r="C25" s="18"/>
      <c r="D25" s="18"/>
      <c r="E25" s="18"/>
      <c r="F25" s="18"/>
      <c r="G25" s="18"/>
      <c r="H25" s="18"/>
    </row>
    <row r="26" spans="3:8" ht="18" customHeight="1">
      <c r="C26" s="18"/>
      <c r="D26" s="18"/>
      <c r="E26" s="18"/>
      <c r="F26" s="18"/>
      <c r="G26" s="18"/>
      <c r="H26" s="18"/>
    </row>
    <row r="27" spans="3:8" ht="18" customHeight="1">
      <c r="C27" s="18"/>
      <c r="D27" s="18"/>
      <c r="E27" s="18"/>
      <c r="F27" s="18"/>
      <c r="G27" s="18"/>
      <c r="H27" s="18"/>
    </row>
    <row r="28" spans="3:8" ht="18" customHeight="1">
      <c r="C28" s="18"/>
      <c r="D28" s="18"/>
      <c r="E28" s="18"/>
      <c r="F28" s="18"/>
      <c r="G28" s="18"/>
      <c r="H28" s="18"/>
    </row>
    <row r="29" spans="3:8" ht="18" customHeight="1">
      <c r="C29" s="18"/>
      <c r="D29" s="18"/>
      <c r="E29" s="18"/>
      <c r="F29" s="18"/>
      <c r="G29" s="18"/>
      <c r="H29" s="18"/>
    </row>
    <row r="30" spans="3:8" ht="18" customHeight="1">
      <c r="C30" s="18"/>
      <c r="D30" s="18"/>
      <c r="E30" s="18"/>
      <c r="F30" s="18"/>
      <c r="G30" s="18"/>
      <c r="H30" s="18"/>
    </row>
    <row r="31" spans="3:8" ht="18" customHeight="1">
      <c r="C31" s="18"/>
      <c r="D31" s="18"/>
      <c r="E31" s="18"/>
      <c r="F31" s="18"/>
      <c r="G31" s="18"/>
      <c r="H31" s="18"/>
    </row>
    <row r="32" spans="3:8" ht="18" customHeight="1">
      <c r="C32" s="18"/>
      <c r="D32" s="18"/>
      <c r="E32" s="18"/>
      <c r="F32" s="18"/>
      <c r="G32" s="18"/>
      <c r="H32" s="18"/>
    </row>
    <row r="33" spans="3:8" ht="18" customHeight="1">
      <c r="C33" s="18"/>
      <c r="D33" s="18"/>
      <c r="E33" s="18"/>
      <c r="F33" s="18"/>
      <c r="G33" s="18"/>
      <c r="H33" s="18"/>
    </row>
    <row r="34" spans="3:8" ht="18" customHeight="1">
      <c r="C34" s="18"/>
      <c r="D34" s="18"/>
      <c r="E34" s="18"/>
      <c r="F34" s="18"/>
      <c r="G34" s="18"/>
      <c r="H34" s="18"/>
    </row>
    <row r="35" spans="3:8" ht="18" customHeight="1">
      <c r="C35" s="18"/>
      <c r="D35" s="18"/>
      <c r="E35" s="18"/>
      <c r="F35" s="18"/>
      <c r="G35" s="18"/>
      <c r="H35" s="18"/>
    </row>
    <row r="36" spans="3:8" ht="18" customHeight="1">
      <c r="C36" s="18"/>
      <c r="D36" s="18"/>
      <c r="E36" s="18"/>
      <c r="F36" s="18"/>
      <c r="G36" s="18"/>
      <c r="H36" s="18"/>
    </row>
    <row r="37" spans="3:8" ht="18" customHeight="1">
      <c r="C37" s="18"/>
      <c r="D37" s="18"/>
      <c r="E37" s="18"/>
      <c r="F37" s="18"/>
      <c r="G37" s="18"/>
      <c r="H37" s="18"/>
    </row>
    <row r="38" spans="3:8" ht="18" customHeight="1">
      <c r="C38" s="18"/>
      <c r="D38" s="18"/>
      <c r="E38" s="18"/>
      <c r="F38" s="18"/>
      <c r="G38" s="18"/>
      <c r="H38" s="18"/>
    </row>
    <row r="39" spans="3:8" ht="18" customHeight="1">
      <c r="C39" s="18"/>
      <c r="D39" s="18"/>
      <c r="E39" s="18"/>
      <c r="F39" s="18"/>
      <c r="G39" s="18"/>
      <c r="H39" s="18"/>
    </row>
    <row r="40" spans="3:8" ht="18" customHeight="1">
      <c r="C40" s="18"/>
      <c r="D40" s="18"/>
      <c r="E40" s="18"/>
      <c r="F40" s="18"/>
      <c r="G40" s="18"/>
      <c r="H40" s="18"/>
    </row>
  </sheetData>
  <autoFilter ref="C3:H3" xr:uid="{00000000-0009-0000-0000-000011000000}"/>
  <phoneticPr fontId="4"/>
  <hyperlinks>
    <hyperlink ref="A1" location="目次!A1" display="◀" xr:uid="{00000000-0004-0000-1100-000000000000}"/>
  </hyperlink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1"/>
  <sheetViews>
    <sheetView workbookViewId="0"/>
  </sheetViews>
  <sheetFormatPr defaultRowHeight="17.649999999999999"/>
  <cols>
    <col min="1" max="1" width="5.25" bestFit="1" customWidth="1"/>
  </cols>
  <sheetData>
    <row r="1" spans="1:6" s="63" customFormat="1">
      <c r="A1" s="74" t="s">
        <v>32</v>
      </c>
      <c r="C1" s="109" t="s">
        <v>121</v>
      </c>
      <c r="D1" s="109"/>
      <c r="E1" s="109"/>
      <c r="F1" s="62"/>
    </row>
  </sheetData>
  <mergeCells count="1">
    <mergeCell ref="C1:E1"/>
  </mergeCells>
  <phoneticPr fontId="4"/>
  <hyperlinks>
    <hyperlink ref="A1" location="目次!A1" display="◀" xr:uid="{00000000-0004-0000-12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G28"/>
  <sheetViews>
    <sheetView tabSelected="1" workbookViewId="0">
      <selection activeCell="G32" sqref="G32"/>
    </sheetView>
  </sheetViews>
  <sheetFormatPr defaultRowHeight="17.649999999999999"/>
  <cols>
    <col min="1" max="1" width="5.25" bestFit="1" customWidth="1"/>
    <col min="2" max="2" width="3.625" bestFit="1" customWidth="1"/>
    <col min="3" max="3" width="5.5" bestFit="1" customWidth="1"/>
    <col min="4" max="4" width="11.125" bestFit="1" customWidth="1"/>
    <col min="5" max="5" width="3.625" bestFit="1" customWidth="1"/>
    <col min="6" max="6" width="3.625" customWidth="1"/>
    <col min="7" max="7" width="3.625" bestFit="1" customWidth="1"/>
  </cols>
  <sheetData>
    <row r="1" spans="1:7" s="63" customFormat="1">
      <c r="A1" s="74" t="s">
        <v>32</v>
      </c>
      <c r="C1" s="109" t="s">
        <v>122</v>
      </c>
      <c r="D1" s="109"/>
      <c r="E1" s="109"/>
      <c r="F1" s="62"/>
    </row>
    <row r="3" spans="1:7">
      <c r="C3" s="160"/>
      <c r="D3" s="160"/>
    </row>
    <row r="4" spans="1:7">
      <c r="C4" s="181"/>
      <c r="D4" s="181"/>
      <c r="E4" s="160"/>
      <c r="F4" s="160"/>
      <c r="G4" s="160"/>
    </row>
    <row r="5" spans="1:7">
      <c r="F5" s="5"/>
    </row>
    <row r="6" spans="1:7">
      <c r="F6" s="5"/>
    </row>
    <row r="7" spans="1:7">
      <c r="F7" s="5"/>
    </row>
    <row r="8" spans="1:7">
      <c r="F8" s="5"/>
    </row>
    <row r="9" spans="1:7">
      <c r="F9" s="5"/>
    </row>
    <row r="10" spans="1:7">
      <c r="F10" s="5"/>
    </row>
    <row r="11" spans="1:7">
      <c r="F11" s="5"/>
    </row>
    <row r="12" spans="1:7">
      <c r="F12" s="5"/>
    </row>
    <row r="13" spans="1:7">
      <c r="F13" s="5"/>
    </row>
    <row r="14" spans="1:7">
      <c r="F14" s="5"/>
    </row>
    <row r="15" spans="1:7">
      <c r="F15" s="5"/>
    </row>
    <row r="16" spans="1:7">
      <c r="F16" s="5"/>
    </row>
    <row r="17" spans="6:6">
      <c r="F17" s="5"/>
    </row>
    <row r="18" spans="6:6">
      <c r="F18" s="5"/>
    </row>
    <row r="19" spans="6:6">
      <c r="F19" s="5"/>
    </row>
    <row r="20" spans="6:6">
      <c r="F20" s="5"/>
    </row>
    <row r="21" spans="6:6">
      <c r="F21" s="5"/>
    </row>
    <row r="22" spans="6:6">
      <c r="F22" s="5"/>
    </row>
    <row r="23" spans="6:6">
      <c r="F23" s="5"/>
    </row>
    <row r="24" spans="6:6">
      <c r="F24" s="5"/>
    </row>
    <row r="25" spans="6:6">
      <c r="F25" s="5"/>
    </row>
    <row r="26" spans="6:6">
      <c r="F26" s="5"/>
    </row>
    <row r="27" spans="6:6">
      <c r="F27" s="5"/>
    </row>
    <row r="28" spans="6:6">
      <c r="F28" s="5"/>
    </row>
  </sheetData>
  <mergeCells count="4">
    <mergeCell ref="C1:E1"/>
    <mergeCell ref="E4:G4"/>
    <mergeCell ref="C4:D4"/>
    <mergeCell ref="C3:D3"/>
  </mergeCells>
  <phoneticPr fontId="4"/>
  <hyperlinks>
    <hyperlink ref="A1" location="目次!A1" display="◀" xr:uid="{00000000-0004-0000-1400-000000000000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3"/>
  <sheetViews>
    <sheetView workbookViewId="0">
      <selection activeCell="C6" sqref="C6"/>
    </sheetView>
  </sheetViews>
  <sheetFormatPr defaultRowHeight="17.649999999999999"/>
  <cols>
    <col min="1" max="1" width="5.25" bestFit="1" customWidth="1"/>
    <col min="2" max="2" width="3.5" bestFit="1" customWidth="1"/>
    <col min="3" max="3" width="10.375" bestFit="1" customWidth="1"/>
    <col min="4" max="4" width="16.75" customWidth="1"/>
    <col min="5" max="5" width="59.75" customWidth="1"/>
    <col min="6" max="6" width="19.25" bestFit="1" customWidth="1"/>
  </cols>
  <sheetData>
    <row r="1" spans="1:6" s="63" customFormat="1">
      <c r="A1" s="74" t="s">
        <v>32</v>
      </c>
      <c r="C1" s="121" t="s">
        <v>28</v>
      </c>
      <c r="D1" s="121"/>
      <c r="E1" s="121"/>
      <c r="F1" s="62"/>
    </row>
    <row r="3" spans="1:6">
      <c r="C3" s="149" t="s">
        <v>168</v>
      </c>
      <c r="D3" s="149"/>
    </row>
  </sheetData>
  <mergeCells count="2">
    <mergeCell ref="C1:E1"/>
    <mergeCell ref="C3:D3"/>
  </mergeCells>
  <phoneticPr fontId="4"/>
  <hyperlinks>
    <hyperlink ref="C3" r:id="rId1" xr:uid="{5F802068-6A45-4109-9F87-D2E1AC66E619}"/>
    <hyperlink ref="A1" location="目次!A1" display="◀" xr:uid="{00000000-0004-0000-1500-000000000000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26"/>
  <sheetViews>
    <sheetView workbookViewId="0">
      <selection activeCell="C4" sqref="C4:D6"/>
    </sheetView>
  </sheetViews>
  <sheetFormatPr defaultRowHeight="17.649999999999999"/>
  <cols>
    <col min="1" max="1" width="5.25" bestFit="1" customWidth="1"/>
    <col min="2" max="2" width="3.5" bestFit="1" customWidth="1"/>
    <col min="3" max="3" width="20.0625" customWidth="1"/>
    <col min="4" max="4" width="75.5" bestFit="1" customWidth="1"/>
    <col min="6" max="6" width="15.125" bestFit="1" customWidth="1"/>
  </cols>
  <sheetData>
    <row r="1" spans="1:10" s="10" customFormat="1">
      <c r="A1" s="21" t="s">
        <v>32</v>
      </c>
      <c r="C1" s="10" t="s">
        <v>123</v>
      </c>
      <c r="F1" s="9"/>
    </row>
    <row r="3" spans="1:10">
      <c r="C3" s="52" t="s">
        <v>33</v>
      </c>
      <c r="D3" s="52" t="s">
        <v>124</v>
      </c>
      <c r="E3" s="52" t="s">
        <v>125</v>
      </c>
      <c r="F3" s="52" t="s">
        <v>126</v>
      </c>
      <c r="G3" s="52" t="s">
        <v>127</v>
      </c>
      <c r="H3" s="52" t="s">
        <v>128</v>
      </c>
      <c r="I3" s="52" t="s">
        <v>129</v>
      </c>
      <c r="J3" s="52" t="s">
        <v>130</v>
      </c>
    </row>
    <row r="4" spans="1:10">
      <c r="C4" s="1"/>
      <c r="D4" s="1"/>
      <c r="E4" s="1"/>
      <c r="F4" s="1"/>
      <c r="G4" s="1"/>
      <c r="H4" s="1"/>
      <c r="I4" s="1"/>
      <c r="J4" s="1"/>
    </row>
    <row r="5" spans="1:10">
      <c r="C5" s="1"/>
      <c r="D5" s="1"/>
      <c r="E5" s="1"/>
      <c r="F5" s="1"/>
      <c r="G5" s="1"/>
      <c r="H5" s="1"/>
      <c r="I5" s="1"/>
      <c r="J5" s="1"/>
    </row>
    <row r="6" spans="1:10">
      <c r="C6" s="1"/>
      <c r="D6" s="1"/>
      <c r="E6" s="1"/>
      <c r="F6" s="1"/>
      <c r="G6" s="1"/>
      <c r="H6" s="1"/>
      <c r="I6" s="1"/>
      <c r="J6" s="1"/>
    </row>
    <row r="7" spans="1:10">
      <c r="C7" s="1"/>
      <c r="D7" s="1"/>
      <c r="E7" s="1"/>
      <c r="F7" s="1"/>
      <c r="G7" s="1"/>
      <c r="H7" s="1"/>
      <c r="I7" s="1"/>
      <c r="J7" s="1"/>
    </row>
    <row r="8" spans="1:10">
      <c r="C8" s="1"/>
      <c r="D8" s="1"/>
      <c r="E8" s="1"/>
      <c r="F8" s="1"/>
      <c r="G8" s="1"/>
      <c r="H8" s="1"/>
      <c r="I8" s="1"/>
      <c r="J8" s="1"/>
    </row>
    <row r="9" spans="1:10">
      <c r="C9" s="1"/>
      <c r="D9" s="1"/>
      <c r="E9" s="1"/>
      <c r="F9" s="1"/>
      <c r="G9" s="1"/>
      <c r="H9" s="1"/>
      <c r="I9" s="1"/>
      <c r="J9" s="1"/>
    </row>
    <row r="10" spans="1:10">
      <c r="C10" s="1"/>
      <c r="D10" s="1"/>
      <c r="E10" s="1"/>
      <c r="F10" s="1"/>
      <c r="G10" s="1"/>
      <c r="H10" s="1"/>
      <c r="I10" s="1"/>
      <c r="J10" s="1"/>
    </row>
    <row r="11" spans="1:10">
      <c r="C11" s="1"/>
      <c r="D11" s="1"/>
      <c r="E11" s="1"/>
      <c r="F11" s="1"/>
      <c r="G11" s="1"/>
      <c r="H11" s="1"/>
      <c r="I11" s="1"/>
      <c r="J11" s="1"/>
    </row>
    <row r="12" spans="1:10">
      <c r="C12" s="1"/>
      <c r="D12" s="1"/>
      <c r="E12" s="1"/>
      <c r="F12" s="1"/>
      <c r="G12" s="1"/>
      <c r="H12" s="1"/>
      <c r="I12" s="1"/>
      <c r="J12" s="1"/>
    </row>
    <row r="13" spans="1:10">
      <c r="C13" s="1"/>
      <c r="D13" s="1"/>
      <c r="E13" s="1"/>
      <c r="F13" s="1"/>
      <c r="G13" s="1"/>
      <c r="H13" s="1"/>
      <c r="I13" s="1"/>
      <c r="J13" s="1"/>
    </row>
    <row r="14" spans="1:10">
      <c r="C14" s="1"/>
      <c r="D14" s="1"/>
      <c r="E14" s="1"/>
      <c r="F14" s="1"/>
      <c r="G14" s="1"/>
      <c r="H14" s="1"/>
      <c r="I14" s="1"/>
      <c r="J14" s="1"/>
    </row>
    <row r="15" spans="1:10">
      <c r="C15" s="1"/>
      <c r="D15" s="1"/>
      <c r="E15" s="1"/>
      <c r="F15" s="1"/>
      <c r="G15" s="1"/>
      <c r="H15" s="1"/>
      <c r="I15" s="1"/>
      <c r="J15" s="1"/>
    </row>
    <row r="16" spans="1:10">
      <c r="C16" s="1"/>
      <c r="D16" s="1"/>
      <c r="E16" s="1"/>
      <c r="F16" s="1"/>
      <c r="G16" s="1"/>
      <c r="H16" s="1"/>
      <c r="I16" s="1"/>
      <c r="J16" s="1"/>
    </row>
    <row r="17" spans="3:10">
      <c r="C17" s="1"/>
      <c r="D17" s="1"/>
      <c r="E17" s="1"/>
      <c r="F17" s="1"/>
      <c r="G17" s="1"/>
      <c r="H17" s="1"/>
      <c r="I17" s="1"/>
      <c r="J17" s="1"/>
    </row>
    <row r="18" spans="3:10">
      <c r="C18" s="1"/>
      <c r="D18" s="1"/>
      <c r="E18" s="1"/>
      <c r="F18" s="1"/>
      <c r="G18" s="1"/>
      <c r="H18" s="1"/>
      <c r="I18" s="1"/>
      <c r="J18" s="1"/>
    </row>
    <row r="19" spans="3:10">
      <c r="C19" s="1"/>
      <c r="D19" s="1"/>
      <c r="E19" s="1"/>
      <c r="F19" s="1"/>
      <c r="G19" s="1"/>
      <c r="H19" s="1"/>
      <c r="I19" s="1"/>
      <c r="J19" s="1"/>
    </row>
    <row r="20" spans="3:10">
      <c r="C20" s="1"/>
      <c r="D20" s="1"/>
      <c r="E20" s="1"/>
      <c r="F20" s="1"/>
      <c r="G20" s="1"/>
      <c r="H20" s="1"/>
      <c r="I20" s="1"/>
      <c r="J20" s="1"/>
    </row>
    <row r="21" spans="3:10">
      <c r="C21" s="1"/>
      <c r="D21" s="1"/>
      <c r="E21" s="1"/>
      <c r="F21" s="1"/>
      <c r="G21" s="1"/>
      <c r="H21" s="1"/>
      <c r="I21" s="1"/>
      <c r="J21" s="1"/>
    </row>
    <row r="22" spans="3:10">
      <c r="C22" s="1"/>
      <c r="D22" s="1"/>
      <c r="E22" s="1"/>
      <c r="F22" s="1"/>
      <c r="G22" s="1"/>
      <c r="H22" s="1"/>
      <c r="I22" s="1"/>
      <c r="J22" s="1"/>
    </row>
    <row r="23" spans="3:10">
      <c r="C23" s="1"/>
      <c r="D23" s="1"/>
      <c r="E23" s="1"/>
      <c r="F23" s="1"/>
      <c r="G23" s="1"/>
      <c r="H23" s="1"/>
      <c r="I23" s="1"/>
      <c r="J23" s="1"/>
    </row>
    <row r="24" spans="3:10">
      <c r="C24" s="1"/>
      <c r="D24" s="1"/>
      <c r="E24" s="1"/>
      <c r="F24" s="1"/>
      <c r="G24" s="1"/>
      <c r="H24" s="1"/>
      <c r="I24" s="1"/>
      <c r="J24" s="1"/>
    </row>
    <row r="25" spans="3:10">
      <c r="C25" s="1"/>
      <c r="D25" s="1"/>
      <c r="E25" s="1"/>
      <c r="F25" s="1"/>
      <c r="G25" s="1"/>
      <c r="H25" s="1"/>
      <c r="I25" s="1"/>
      <c r="J25" s="1"/>
    </row>
    <row r="26" spans="3:10">
      <c r="C26" s="1"/>
      <c r="D26" s="1"/>
      <c r="E26" s="1"/>
      <c r="F26" s="1"/>
      <c r="G26" s="1"/>
      <c r="H26" s="1"/>
      <c r="I26" s="1"/>
      <c r="J26" s="1"/>
    </row>
  </sheetData>
  <phoneticPr fontId="4"/>
  <hyperlinks>
    <hyperlink ref="A1" location="目次!A1" display="◀" xr:uid="{00000000-0004-0000-1800-000000000000}"/>
  </hyperlinks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e641ae9-02aa-4efd-b882-768545b50ec3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3E3CE04B9D9FD044B91379243D40ADD1" ma:contentTypeVersion="10" ma:contentTypeDescription="新しいドキュメントを作成します。" ma:contentTypeScope="" ma:versionID="b8beec51bf102cbb14d3840bcfe70dbc">
  <xsd:schema xmlns:xsd="http://www.w3.org/2001/XMLSchema" xmlns:xs="http://www.w3.org/2001/XMLSchema" xmlns:p="http://schemas.microsoft.com/office/2006/metadata/properties" xmlns:ns2="ee641ae9-02aa-4efd-b882-768545b50ec3" targetNamespace="http://schemas.microsoft.com/office/2006/metadata/properties" ma:root="true" ma:fieldsID="79d1d35729559cf41dac4619d30b9e4f" ns2:_="">
    <xsd:import namespace="ee641ae9-02aa-4efd-b882-768545b50e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641ae9-02aa-4efd-b882-768545b50e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5686cd48-cefc-4cf4-8834-9dce622a4c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C8FB28-7A36-443C-9A92-7A6425695D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43B0D7-4854-48DB-AEFF-8291D3D65BC6}">
  <ds:schemaRefs>
    <ds:schemaRef ds:uri="ee641ae9-02aa-4efd-b882-768545b50ec3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3A4DA1D-82BF-4073-A372-41DC8CBBDF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641ae9-02aa-4efd-b882-768545b50e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目次</vt:lpstr>
      <vt:lpstr>基本情報</vt:lpstr>
      <vt:lpstr>設定仕様</vt:lpstr>
      <vt:lpstr>基本ルール</vt:lpstr>
      <vt:lpstr>全体フロー</vt:lpstr>
      <vt:lpstr>ラベル一覧</vt:lpstr>
      <vt:lpstr>タイトルフロー</vt:lpstr>
      <vt:lpstr>画面一覧</vt:lpstr>
      <vt:lpstr>ゲームメインフロー</vt:lpstr>
      <vt:lpstr>一覧表項目説明</vt:lpstr>
      <vt:lpstr>タイトル画面</vt:lpstr>
      <vt:lpstr>メイン画面</vt:lpstr>
      <vt:lpstr>グラフィック一覧</vt:lpstr>
      <vt:lpstr>サウンド一覧</vt:lpstr>
      <vt:lpstr>スプライト設定一覧</vt:lpstr>
      <vt:lpstr>パラメータ・用語一覧</vt:lpstr>
      <vt:lpstr>変数表</vt:lpstr>
      <vt:lpstr>データ表</vt:lpstr>
      <vt:lpstr>スプライト定義</vt:lpstr>
      <vt:lpstr>シナリオ一覧</vt:lpstr>
      <vt:lpstr>エラー履歴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2026-05-07T03:05:02Z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0x0101003E3CE04B9D9FD044B91379243D40ADD1</vt:lpwstr>
  </property>
  <property fmtid="{D5CDD505-2E9C-101B-9397-08002B2CF9AE}" pid="3" name="MediaServiceImageTags">
    <vt:lpwstr/>
  </property>
</Properties>
</file>