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EEEBD1B9-EC6E-4F2F-8470-072F242B557A}" xr6:coauthVersionLast="47" xr6:coauthVersionMax="47" xr10:uidLastSave="{00000000-0000-0000-0000-000000000000}"/>
  <bookViews>
    <workbookView xWindow="-83" yWindow="0" windowWidth="11686" windowHeight="11363" firstSheet="5" activeTab="6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ラベル一覧" sheetId="22" r:id="rId6"/>
    <sheet name="タイトルフロー" sheetId="20" r:id="rId7"/>
    <sheet name="画面一覧" sheetId="5" r:id="rId8"/>
    <sheet name="ゲームメインフロー" sheetId="4" r:id="rId9"/>
    <sheet name="一覧表項目説明" sheetId="13" r:id="rId10"/>
    <sheet name="タイトル画面" sheetId="19" r:id="rId11"/>
    <sheet name="マップ選択画面" sheetId="17" r:id="rId12"/>
    <sheet name="マップ選択画面 (2)" sheetId="27" r:id="rId13"/>
    <sheet name="マップ選択画面 (3)" sheetId="29" r:id="rId14"/>
    <sheet name="メイン画面" sheetId="12" r:id="rId15"/>
    <sheet name="グラフィック一覧" sheetId="6" r:id="rId16"/>
    <sheet name="サウンド一覧" sheetId="7" r:id="rId17"/>
    <sheet name="スプライト設定一覧" sheetId="9" r:id="rId18"/>
    <sheet name="パラメータ・用語一覧" sheetId="8" r:id="rId19"/>
    <sheet name="変数表" sheetId="15" r:id="rId20"/>
    <sheet name="データ表" sheetId="23" r:id="rId21"/>
    <sheet name="スプライト定義" sheetId="21" r:id="rId22"/>
    <sheet name="シナリオ一覧" sheetId="10" r:id="rId23"/>
    <sheet name="エラー履歴" sheetId="24" r:id="rId24"/>
    <sheet name="反射計算" sheetId="25" r:id="rId25"/>
  </sheets>
  <definedNames>
    <definedName name="_xlnm._FilterDatabase" localSheetId="15" hidden="1">グラフィック一覧!$B$3:$Q$4</definedName>
    <definedName name="_xlnm._FilterDatabase" localSheetId="16" hidden="1">サウンド一覧!$B$3:$Q$3</definedName>
    <definedName name="_xlnm._FilterDatabase" localSheetId="19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4" i="1"/>
  <c r="B9" i="1"/>
  <c r="B8" i="1"/>
  <c r="AK27" i="25"/>
  <c r="AJ27" i="25"/>
  <c r="AI27" i="25"/>
  <c r="AH27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AK26" i="25"/>
  <c r="AJ26" i="25"/>
  <c r="AI26" i="25"/>
  <c r="AH26" i="25"/>
  <c r="AG26" i="25"/>
  <c r="AF26" i="25"/>
  <c r="AE26" i="25"/>
  <c r="AD26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AK25" i="25"/>
  <c r="AJ25" i="25"/>
  <c r="AI25" i="25"/>
  <c r="AH25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AK24" i="25"/>
  <c r="AJ24" i="25"/>
  <c r="AI24" i="25"/>
  <c r="AH24" i="25"/>
  <c r="AG24" i="25"/>
  <c r="AF24" i="25"/>
  <c r="AE24" i="25"/>
  <c r="AD24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AK23" i="25"/>
  <c r="AJ23" i="25"/>
  <c r="AI23" i="25"/>
  <c r="AH23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AK22" i="25"/>
  <c r="AJ22" i="25"/>
  <c r="AI22" i="25"/>
  <c r="AH22" i="25"/>
  <c r="AG22" i="25"/>
  <c r="AF22" i="25"/>
  <c r="AE22" i="25"/>
  <c r="AD22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AK21" i="25"/>
  <c r="AJ21" i="25"/>
  <c r="AI21" i="25"/>
  <c r="AH21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AK20" i="25"/>
  <c r="AJ20" i="25"/>
  <c r="AI20" i="25"/>
  <c r="AH20" i="25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AK19" i="25"/>
  <c r="AJ19" i="25"/>
  <c r="AI19" i="25"/>
  <c r="AH19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AK18" i="25"/>
  <c r="AJ18" i="25"/>
  <c r="AI18" i="25"/>
  <c r="AH18" i="25"/>
  <c r="AG18" i="25"/>
  <c r="AF18" i="25"/>
  <c r="AE18" i="25"/>
  <c r="AD18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AK17" i="25"/>
  <c r="AJ17" i="25"/>
  <c r="AI17" i="25"/>
  <c r="AH17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AK16" i="25"/>
  <c r="AJ16" i="25"/>
  <c r="AI16" i="25"/>
  <c r="AH16" i="25"/>
  <c r="AG16" i="25"/>
  <c r="AF16" i="25"/>
  <c r="AE16" i="25"/>
  <c r="AD16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AK14" i="25"/>
  <c r="AJ14" i="25"/>
  <c r="AI14" i="25"/>
  <c r="AH14" i="25"/>
  <c r="AG14" i="25"/>
  <c r="AF14" i="25"/>
  <c r="AE14" i="25"/>
  <c r="AD14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AK13" i="25"/>
  <c r="AJ13" i="25"/>
  <c r="AI13" i="25"/>
  <c r="AH13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AK12" i="25"/>
  <c r="AJ12" i="25"/>
  <c r="AI12" i="25"/>
  <c r="AH12" i="25"/>
  <c r="AG12" i="25"/>
  <c r="AF12" i="25"/>
  <c r="AE12" i="25"/>
  <c r="AD12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AK11" i="25"/>
  <c r="AJ11" i="25"/>
  <c r="AI11" i="25"/>
  <c r="AH11" i="25"/>
  <c r="AG11" i="25"/>
  <c r="AF11" i="25"/>
  <c r="AE11" i="25"/>
  <c r="AD11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AK10" i="25"/>
  <c r="AJ10" i="25"/>
  <c r="AI10" i="25"/>
  <c r="AH10" i="25"/>
  <c r="AG10" i="25"/>
  <c r="AF10" i="25"/>
  <c r="AE10" i="25"/>
  <c r="AD10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AK9" i="25"/>
  <c r="AJ9" i="25"/>
  <c r="AI9" i="25"/>
  <c r="AH9" i="25"/>
  <c r="AG9" i="25"/>
  <c r="AF9" i="25"/>
  <c r="AE9" i="25"/>
  <c r="AD9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AK8" i="25"/>
  <c r="AJ8" i="25"/>
  <c r="AI8" i="25"/>
  <c r="AH8" i="25"/>
  <c r="AG8" i="25"/>
  <c r="AF8" i="25"/>
  <c r="AE8" i="25"/>
  <c r="AD8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AK7" i="25"/>
  <c r="AJ7" i="25"/>
  <c r="AI7" i="25"/>
  <c r="AH7" i="25"/>
  <c r="AG7" i="25"/>
  <c r="AF7" i="25"/>
  <c r="AE7" i="25"/>
  <c r="AD7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AK6" i="25"/>
  <c r="AJ6" i="25"/>
  <c r="AI6" i="25"/>
  <c r="AH6" i="25"/>
  <c r="AG6" i="25"/>
  <c r="AF6" i="25"/>
  <c r="AE6" i="25"/>
  <c r="AD6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AK5" i="25"/>
  <c r="AJ5" i="25"/>
  <c r="AI5" i="25"/>
  <c r="AH5" i="25"/>
  <c r="AG5" i="25"/>
  <c r="AF5" i="25"/>
  <c r="AE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AK4" i="25"/>
  <c r="AJ4" i="25"/>
  <c r="AI4" i="25"/>
  <c r="AH4" i="25"/>
  <c r="AG4" i="25"/>
  <c r="AF4" i="25"/>
  <c r="AE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AK3" i="25"/>
  <c r="AJ3" i="25"/>
  <c r="AI3" i="25"/>
  <c r="AH3" i="25"/>
  <c r="AG3" i="25"/>
  <c r="AF3" i="25"/>
  <c r="AE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L12" i="25"/>
  <c r="L11" i="25"/>
  <c r="L10" i="25"/>
  <c r="L9" i="25"/>
  <c r="L8" i="25"/>
  <c r="L7" i="25"/>
  <c r="L6" i="25"/>
  <c r="L5" i="25"/>
  <c r="L4" i="25"/>
  <c r="L3" i="25"/>
  <c r="E3" i="25"/>
  <c r="E2" i="25"/>
  <c r="D3" i="25"/>
  <c r="D2" i="25"/>
  <c r="F3" i="25"/>
  <c r="F2" i="25"/>
  <c r="G2" i="25"/>
  <c r="H2" i="25"/>
  <c r="G3" i="25"/>
  <c r="E25" i="9"/>
  <c r="D25" i="9"/>
  <c r="B25" i="9"/>
  <c r="E24" i="9"/>
  <c r="D24" i="9"/>
  <c r="B24" i="9"/>
  <c r="E23" i="9"/>
  <c r="D23" i="9"/>
  <c r="B23" i="9"/>
  <c r="E22" i="9"/>
  <c r="D22" i="9"/>
  <c r="B22" i="9"/>
  <c r="E21" i="9"/>
  <c r="D21" i="9"/>
  <c r="B21" i="9"/>
  <c r="E20" i="9"/>
  <c r="D20" i="9"/>
  <c r="B20" i="9"/>
  <c r="E19" i="9"/>
  <c r="D19" i="9"/>
  <c r="B19" i="9"/>
  <c r="E18" i="9"/>
  <c r="D18" i="9"/>
  <c r="B18" i="9"/>
  <c r="H3" i="25"/>
  <c r="I3" i="25"/>
  <c r="I2" i="25"/>
  <c r="B14" i="9"/>
  <c r="D14" i="9"/>
  <c r="E14" i="9"/>
  <c r="B15" i="9"/>
  <c r="D15" i="9"/>
  <c r="E15" i="9"/>
  <c r="B16" i="9"/>
  <c r="D16" i="9"/>
  <c r="E16" i="9"/>
  <c r="B17" i="9"/>
  <c r="D17" i="9"/>
  <c r="E17" i="9"/>
  <c r="B26" i="9"/>
  <c r="D26" i="9"/>
  <c r="B27" i="9"/>
  <c r="D27" i="9"/>
  <c r="B28" i="9"/>
  <c r="D28" i="9"/>
  <c r="B29" i="9"/>
  <c r="D29" i="9"/>
  <c r="E29" i="9"/>
  <c r="B30" i="9"/>
  <c r="D30" i="9"/>
  <c r="E30" i="9"/>
  <c r="B31" i="9"/>
  <c r="D31" i="9"/>
  <c r="E31" i="9"/>
  <c r="B32" i="9"/>
  <c r="D32" i="9"/>
  <c r="E32" i="9"/>
  <c r="B33" i="9"/>
  <c r="D33" i="9"/>
  <c r="E33" i="9"/>
  <c r="B34" i="9"/>
  <c r="D34" i="9"/>
  <c r="E34" i="9"/>
  <c r="B35" i="9"/>
  <c r="D35" i="9"/>
  <c r="E35" i="9"/>
  <c r="B36" i="9"/>
  <c r="D36" i="9"/>
  <c r="E36" i="9"/>
  <c r="B12" i="9"/>
  <c r="D12" i="9"/>
  <c r="E12" i="9"/>
  <c r="B13" i="9"/>
  <c r="D13" i="9"/>
  <c r="E13" i="9"/>
  <c r="D11" i="9"/>
  <c r="D10" i="9"/>
  <c r="D9" i="9"/>
  <c r="D8" i="9"/>
  <c r="D7" i="9"/>
  <c r="E11" i="9"/>
  <c r="E10" i="9"/>
  <c r="E9" i="9"/>
  <c r="E8" i="9"/>
  <c r="E7" i="9"/>
  <c r="B11" i="9"/>
  <c r="B10" i="9"/>
  <c r="B9" i="9"/>
  <c r="B8" i="9"/>
  <c r="B7" i="9"/>
  <c r="B6" i="9"/>
  <c r="D6" i="9"/>
  <c r="E6" i="9"/>
  <c r="B21" i="1"/>
  <c r="B20" i="1"/>
  <c r="B18" i="1"/>
  <c r="B17" i="1"/>
  <c r="B16" i="1"/>
  <c r="B15" i="1"/>
  <c r="B10" i="1"/>
  <c r="B7" i="1"/>
  <c r="B6" i="1"/>
  <c r="B5" i="1"/>
</calcChain>
</file>

<file path=xl/sharedStrings.xml><?xml version="1.0" encoding="utf-8"?>
<sst xmlns="http://schemas.openxmlformats.org/spreadsheetml/2006/main" count="491" uniqueCount="305">
  <si>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</si>
  <si>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</si>
  <si>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</si>
  <si>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</si>
  <si>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</si>
  <si>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</si>
  <si>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</si>
  <si>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</si>
  <si>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</si>
  <si>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</si>
  <si>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</si>
  <si>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</si>
  <si>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</si>
  <si>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</si>
  <si>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</si>
  <si>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</si>
  <si>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マップ選択画面</t>
    <rPh sb="3" eb="5">
      <t>センタク</t>
    </rPh>
    <rPh sb="5" eb="7">
      <t>ガメン</t>
    </rPh>
    <phoneticPr fontId="4"/>
  </si>
  <si>
    <t>マップ選択の画面デザイン、使用キーを記述したもの。</t>
    <rPh sb="3" eb="5">
      <t>センタク</t>
    </rPh>
    <rPh sb="6" eb="8">
      <t>ガメン</t>
    </rPh>
    <rPh sb="13" eb="15">
      <t>シヨウ</t>
    </rPh>
    <rPh sb="18" eb="20">
      <t>キジュツ</t>
    </rPh>
    <phoneticPr fontId="4"/>
  </si>
  <si>
    <t>マップ選択画面(２)</t>
    <rPh sb="3" eb="5">
      <t>センタク</t>
    </rPh>
    <rPh sb="5" eb="7">
      <t>ガメン</t>
    </rPh>
    <phoneticPr fontId="4"/>
  </si>
  <si>
    <t>マップ選択画面(３)</t>
    <rPh sb="3" eb="5">
      <t>センタク</t>
    </rPh>
    <rPh sb="5" eb="7">
      <t>ガメン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</si>
  <si>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</si>
  <si>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</si>
  <si>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</si>
  <si>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</si>
  <si>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</si>
  <si>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</si>
  <si>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</si>
  <si>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</si>
  <si>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</si>
  <si>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</si>
  <si>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デバッグリスト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</si>
  <si>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</si>
  <si>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</si>
  <si>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</si>
  <si>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</si>
  <si>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</si>
  <si>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</si>
  <si>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</si>
  <si>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</si>
  <si>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</si>
  <si>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</si>
  <si>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1920×1080</t>
  </si>
  <si>
    <t>▼入力装置</t>
    <rPh sb="1" eb="3">
      <t>ニュウリョク</t>
    </rPh>
    <rPh sb="3" eb="5">
      <t>ソウチ</t>
    </rPh>
    <phoneticPr fontId="4"/>
  </si>
  <si>
    <t>キーボード</t>
  </si>
  <si>
    <t>Enter</t>
  </si>
  <si>
    <t>Space</t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</si>
  <si>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</si>
  <si>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</si>
  <si>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</si>
  <si>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</si>
  <si>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</si>
  <si>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</si>
  <si>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</si>
  <si>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</si>
  <si>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</si>
  <si>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</si>
  <si>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</si>
  <si>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リザルト</t>
    <phoneticPr fontId="4"/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</si>
  <si>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</si>
  <si>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</si>
  <si>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</si>
  <si>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ゲームタイトルを表示する。スタートするためのキーを押すと進む</t>
    <rPh sb="8" eb="10">
      <t>ヒョウジ</t>
    </rPh>
    <rPh sb="25" eb="26">
      <t>オ</t>
    </rPh>
    <rPh sb="28" eb="29">
      <t>スス</t>
    </rPh>
    <phoneticPr fontId="4"/>
  </si>
  <si>
    <t>コース選択(選択画面)</t>
    <rPh sb="3" eb="5">
      <t>センタク</t>
    </rPh>
    <rPh sb="6" eb="8">
      <t>センタク</t>
    </rPh>
    <rPh sb="8" eb="10">
      <t>ガメン</t>
    </rPh>
    <phoneticPr fontId="4"/>
  </si>
  <si>
    <t>プレイコースを選択(室内、屋外)</t>
    <rPh sb="7" eb="9">
      <t>センタク</t>
    </rPh>
    <rPh sb="10" eb="12">
      <t>シツナイ</t>
    </rPh>
    <rPh sb="13" eb="15">
      <t>オクガイ</t>
    </rPh>
    <phoneticPr fontId="4"/>
  </si>
  <si>
    <t>マップ選択(選択画面)</t>
    <rPh sb="3" eb="5">
      <t>センタク</t>
    </rPh>
    <rPh sb="6" eb="8">
      <t>センタク</t>
    </rPh>
    <rPh sb="8" eb="10">
      <t>ガメン</t>
    </rPh>
    <phoneticPr fontId="4"/>
  </si>
  <si>
    <t>プレイコースを選択室内(体育館、教室、廊下)</t>
    <rPh sb="7" eb="9">
      <t>センタク</t>
    </rPh>
    <rPh sb="9" eb="11">
      <t>シツナイ</t>
    </rPh>
    <rPh sb="12" eb="15">
      <t>タイイクカン</t>
    </rPh>
    <rPh sb="16" eb="18">
      <t>キョウシツ</t>
    </rPh>
    <rPh sb="19" eb="21">
      <t>ロウカ</t>
    </rPh>
    <phoneticPr fontId="4"/>
  </si>
  <si>
    <t>プレイコースを選択屋外(春、夏、秋、冬)</t>
    <rPh sb="7" eb="9">
      <t>センタク</t>
    </rPh>
    <rPh sb="9" eb="10">
      <t>オク</t>
    </rPh>
    <rPh sb="10" eb="11">
      <t>ソト</t>
    </rPh>
    <rPh sb="12" eb="13">
      <t>ハル</t>
    </rPh>
    <rPh sb="14" eb="15">
      <t>ナツ</t>
    </rPh>
    <rPh sb="16" eb="17">
      <t>アキ</t>
    </rPh>
    <rPh sb="18" eb="19">
      <t>フユ</t>
    </rPh>
    <phoneticPr fontId="4"/>
  </si>
  <si>
    <t>メイン画面</t>
    <rPh sb="3" eb="5">
      <t>ガメン</t>
    </rPh>
    <phoneticPr fontId="4"/>
  </si>
  <si>
    <t>プレイ画面の表示</t>
    <rPh sb="3" eb="5">
      <t>ガメン</t>
    </rPh>
    <rPh sb="6" eb="8">
      <t>ヒョウジ</t>
    </rPh>
    <phoneticPr fontId="4"/>
  </si>
  <si>
    <t>リザルト画面</t>
    <phoneticPr fontId="4"/>
  </si>
  <si>
    <t>成功or失敗</t>
    <rPh sb="0" eb="2">
      <t>セイコウ</t>
    </rPh>
    <rPh sb="4" eb="6">
      <t>シッパイ</t>
    </rPh>
    <phoneticPr fontId="4"/>
  </si>
  <si>
    <t>・ステージ描画</t>
    <rPh sb="5" eb="7">
      <t>ビョウガ</t>
    </rPh>
    <phoneticPr fontId="4"/>
  </si>
  <si>
    <t>キー入力</t>
    <rPh sb="2" eb="4">
      <t>ニュウリョク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</si>
  <si>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</si>
  <si>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</si>
  <si>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</si>
  <si>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</si>
  <si>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タイトルロゴこんな感じ</t>
  </si>
  <si>
    <t>・バスケットボール</t>
  </si>
  <si>
    <t>・オレンジ系の色</t>
  </si>
  <si>
    <t>・中央に文字を寄せる</t>
  </si>
  <si>
    <t>start</t>
    <phoneticPr fontId="4"/>
  </si>
  <si>
    <t>Enterを押してスタート</t>
    <phoneticPr fontId="4"/>
  </si>
  <si>
    <t>↑イメージ</t>
  </si>
  <si>
    <t>ロゴ</t>
    <phoneticPr fontId="4"/>
  </si>
  <si>
    <t>選択範囲変更</t>
    <rPh sb="0" eb="6">
      <t>センタクハンイヘンコウ</t>
    </rPh>
    <phoneticPr fontId="4"/>
  </si>
  <si>
    <t>選択範囲変更</t>
    <rPh sb="0" eb="4">
      <t>センタクハンイ</t>
    </rPh>
    <rPh sb="4" eb="6">
      <t>ヘンコウ</t>
    </rPh>
    <phoneticPr fontId="4"/>
  </si>
  <si>
    <t>選択範囲に進む</t>
    <rPh sb="0" eb="2">
      <t>センタク</t>
    </rPh>
    <rPh sb="2" eb="4">
      <t>ハンイ</t>
    </rPh>
    <rPh sb="5" eb="6">
      <t>スス</t>
    </rPh>
    <phoneticPr fontId="4"/>
  </si>
  <si>
    <t>z</t>
    <phoneticPr fontId="4"/>
  </si>
  <si>
    <t>押</t>
    <rPh sb="0" eb="1">
      <t>オ</t>
    </rPh>
    <phoneticPr fontId="4"/>
  </si>
  <si>
    <t>前画面の戻る</t>
    <rPh sb="0" eb="1">
      <t>マエ</t>
    </rPh>
    <rPh sb="1" eb="3">
      <t>ガメン</t>
    </rPh>
    <rPh sb="4" eb="5">
      <t>モド</t>
    </rPh>
    <phoneticPr fontId="4"/>
  </si>
  <si>
    <t>屋内</t>
    <rPh sb="0" eb="2">
      <t>オクナイ</t>
    </rPh>
    <phoneticPr fontId="4"/>
  </si>
  <si>
    <t>屋外</t>
    <rPh sb="0" eb="2">
      <t>オクガイ</t>
    </rPh>
    <phoneticPr fontId="4"/>
  </si>
  <si>
    <t>マップ選択画面(2)</t>
    <rPh sb="3" eb="5">
      <t>センタク</t>
    </rPh>
    <rPh sb="5" eb="7">
      <t>ガメン</t>
    </rPh>
    <phoneticPr fontId="4"/>
  </si>
  <si>
    <t>体育館</t>
    <rPh sb="0" eb="3">
      <t>タイイクカン</t>
    </rPh>
    <phoneticPr fontId="4"/>
  </si>
  <si>
    <t>廊下</t>
    <rPh sb="0" eb="2">
      <t>ロウカ</t>
    </rPh>
    <phoneticPr fontId="4"/>
  </si>
  <si>
    <t>教室</t>
    <rPh sb="0" eb="2">
      <t>キョウシツ</t>
    </rPh>
    <phoneticPr fontId="4"/>
  </si>
  <si>
    <t>マップ選択画面(3)</t>
    <rPh sb="3" eb="5">
      <t>センタク</t>
    </rPh>
    <rPh sb="5" eb="7">
      <t>ガメン</t>
    </rPh>
    <phoneticPr fontId="4"/>
  </si>
  <si>
    <t>ｚ</t>
    <phoneticPr fontId="4"/>
  </si>
  <si>
    <t>春</t>
    <rPh sb="0" eb="1">
      <t>ハル</t>
    </rPh>
    <phoneticPr fontId="4"/>
  </si>
  <si>
    <t>夏</t>
    <rPh sb="0" eb="1">
      <t>ナツ</t>
    </rPh>
    <phoneticPr fontId="4"/>
  </si>
  <si>
    <t>秋</t>
    <rPh sb="0" eb="1">
      <t>アキ</t>
    </rPh>
    <phoneticPr fontId="4"/>
  </si>
  <si>
    <t>冬</t>
    <rPh sb="0" eb="1">
      <t>フユ</t>
    </rPh>
    <phoneticPr fontId="4"/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</si>
  <si>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</si>
  <si>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</si>
  <si>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</si>
  <si>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</si>
  <si>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</si>
  <si>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</si>
  <si>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</si>
  <si>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</si>
  <si>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</si>
  <si>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</si>
  <si>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</si>
  <si>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</si>
  <si>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</si>
  <si>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</si>
  <si>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</si>
  <si>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</si>
  <si>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</si>
  <si>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</si>
  <si>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</si>
  <si>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</si>
  <si>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</si>
  <si>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</si>
  <si>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</si>
  <si>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バスケットボール</t>
    <phoneticPr fontId="4"/>
  </si>
  <si>
    <t>メイン</t>
    <phoneticPr fontId="4"/>
  </si>
  <si>
    <t>A</t>
  </si>
  <si>
    <t>最初に投げる人</t>
    <rPh sb="0" eb="2">
      <t>サイショ</t>
    </rPh>
    <rPh sb="3" eb="4">
      <t>ナ</t>
    </rPh>
    <rPh sb="6" eb="7">
      <t>ヒト</t>
    </rPh>
    <phoneticPr fontId="4"/>
  </si>
  <si>
    <t>A</t>
    <phoneticPr fontId="4"/>
  </si>
  <si>
    <t>バスケットゴール</t>
    <phoneticPr fontId="4"/>
  </si>
  <si>
    <t>体育館の壁１（ドアあり）</t>
    <rPh sb="0" eb="3">
      <t>タイイクカン</t>
    </rPh>
    <rPh sb="4" eb="5">
      <t>カベ</t>
    </rPh>
    <phoneticPr fontId="4"/>
  </si>
  <si>
    <t>体育館の壁２（ドアなし）</t>
    <rPh sb="0" eb="3">
      <t>タイイクカン</t>
    </rPh>
    <rPh sb="4" eb="5">
      <t>カベ</t>
    </rPh>
    <phoneticPr fontId="4"/>
  </si>
  <si>
    <t>ゴール用のバケツ</t>
    <rPh sb="3" eb="4">
      <t>ヨウ</t>
    </rPh>
    <phoneticPr fontId="4"/>
  </si>
  <si>
    <t>外のそら</t>
    <rPh sb="0" eb="1">
      <t>ソト</t>
    </rPh>
    <phoneticPr fontId="4"/>
  </si>
  <si>
    <t>建物（ビル類）</t>
    <rPh sb="0" eb="2">
      <t>タテモノ</t>
    </rPh>
    <rPh sb="5" eb="6">
      <t>ルイ</t>
    </rPh>
    <phoneticPr fontId="4"/>
  </si>
  <si>
    <t>木（春）</t>
    <rPh sb="0" eb="1">
      <t>キ</t>
    </rPh>
    <rPh sb="2" eb="3">
      <t>ハル</t>
    </rPh>
    <phoneticPr fontId="4"/>
  </si>
  <si>
    <t>木（夏）</t>
    <rPh sb="0" eb="1">
      <t>キ</t>
    </rPh>
    <rPh sb="2" eb="3">
      <t>ナツ</t>
    </rPh>
    <phoneticPr fontId="4"/>
  </si>
  <si>
    <t>木（秋）</t>
    <rPh sb="0" eb="1">
      <t>キ</t>
    </rPh>
    <rPh sb="2" eb="3">
      <t>アキ</t>
    </rPh>
    <phoneticPr fontId="4"/>
  </si>
  <si>
    <t>木（冬）</t>
    <rPh sb="0" eb="1">
      <t>キ</t>
    </rPh>
    <rPh sb="2" eb="3">
      <t>フユ</t>
    </rPh>
    <phoneticPr fontId="4"/>
  </si>
  <si>
    <t>季節背景＋マンホール</t>
  </si>
  <si>
    <t>B</t>
    <phoneticPr fontId="4"/>
  </si>
  <si>
    <t>HPゲージ</t>
  </si>
  <si>
    <t>威力ゲージ</t>
  </si>
  <si>
    <t>枠の中を5つに分ける、３色(赤,橙,黄)に分ける</t>
  </si>
  <si>
    <t>角度ゲージ</t>
  </si>
  <si>
    <t>円の1/3の大きさ</t>
  </si>
  <si>
    <t>やじるし↑</t>
  </si>
  <si>
    <t>黒色,太く</t>
  </si>
  <si>
    <t>マンホールの蓋</t>
    <rPh sb="6" eb="7">
      <t>フタ</t>
    </rPh>
    <phoneticPr fontId="4"/>
  </si>
  <si>
    <t>アイテムとして使用</t>
    <rPh sb="7" eb="9">
      <t>シヨウ</t>
    </rPh>
    <phoneticPr fontId="4"/>
  </si>
  <si>
    <t>タイトルロゴ</t>
  </si>
  <si>
    <t>リザルト画面</t>
    <rPh sb="4" eb="6">
      <t>ガメン</t>
    </rPh>
    <phoneticPr fontId="4"/>
  </si>
  <si>
    <t>薄い黒、透過気味？</t>
    <rPh sb="0" eb="1">
      <t>ウス</t>
    </rPh>
    <rPh sb="2" eb="3">
      <t>クロ</t>
    </rPh>
    <rPh sb="4" eb="6">
      <t>トウカ</t>
    </rPh>
    <rPh sb="6" eb="8">
      <t>ギミ</t>
    </rPh>
    <phoneticPr fontId="4"/>
  </si>
  <si>
    <t>失敗</t>
    <rPh sb="0" eb="2">
      <t>シッパイ</t>
    </rPh>
    <phoneticPr fontId="4"/>
  </si>
  <si>
    <t>文字、青よりの色ふち白</t>
    <rPh sb="0" eb="2">
      <t>モジ</t>
    </rPh>
    <rPh sb="3" eb="4">
      <t>アオ</t>
    </rPh>
    <rPh sb="7" eb="8">
      <t>イロ</t>
    </rPh>
    <rPh sb="10" eb="11">
      <t>シロ</t>
    </rPh>
    <phoneticPr fontId="4"/>
  </si>
  <si>
    <t>成功</t>
    <rPh sb="0" eb="2">
      <t>セイコウ</t>
    </rPh>
    <phoneticPr fontId="4"/>
  </si>
  <si>
    <t>文字、赤よりの色ふち白</t>
    <rPh sb="0" eb="2">
      <t>モジ</t>
    </rPh>
    <rPh sb="3" eb="4">
      <t>アカ</t>
    </rPh>
    <rPh sb="7" eb="8">
      <t>イロ</t>
    </rPh>
    <rPh sb="10" eb="11">
      <t>シロ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</si>
  <si>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</si>
  <si>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</si>
  <si>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</si>
  <si>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</si>
  <si>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</si>
  <si>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</si>
  <si>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スプライト設定</t>
    <rPh sb="5" eb="7">
      <t>セッテイ</t>
    </rPh>
    <phoneticPr fontId="4"/>
  </si>
  <si>
    <t>（0 ～ 4095）</t>
    <phoneticPr fontId="4"/>
  </si>
  <si>
    <t>開始番号</t>
    <rPh sb="0" eb="2">
      <t>カイシ</t>
    </rPh>
    <rPh sb="2" eb="4">
      <t>バンゴウ</t>
    </rPh>
    <phoneticPr fontId="4"/>
  </si>
  <si>
    <t>～</t>
    <phoneticPr fontId="4"/>
  </si>
  <si>
    <t>終了番号</t>
    <rPh sb="0" eb="2">
      <t>シュウリョウ</t>
    </rPh>
    <rPh sb="2" eb="4">
      <t>バンゴウ</t>
    </rPh>
    <phoneticPr fontId="4"/>
  </si>
  <si>
    <t>個数</t>
    <rPh sb="0" eb="2">
      <t>コスウ</t>
    </rPh>
    <phoneticPr fontId="4"/>
  </si>
  <si>
    <t>定義番号</t>
    <rPh sb="0" eb="2">
      <t>テイギ</t>
    </rPh>
    <rPh sb="2" eb="4">
      <t>バンゴウ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</si>
  <si>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</si>
  <si>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</si>
  <si>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</si>
  <si>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</si>
  <si>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</si>
  <si>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</si>
  <si>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</si>
  <si>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</si>
  <si>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</si>
  <si>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</si>
  <si>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</si>
  <si>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</si>
  <si>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スプライト定義</t>
    <rPh sb="5" eb="7">
      <t>テイギ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</si>
  <si>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</si>
  <si>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</si>
  <si>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</si>
  <si>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</si>
  <si>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</si>
  <si>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</si>
  <si>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</si>
  <si>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</si>
  <si>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X座標</t>
    <rPh sb="1" eb="3">
      <t>ザヒョウ</t>
    </rPh>
    <phoneticPr fontId="4"/>
  </si>
  <si>
    <t>Y座標</t>
    <rPh sb="1" eb="3">
      <t>ザヒョウ</t>
    </rPh>
    <phoneticPr fontId="4"/>
  </si>
  <si>
    <t>X距離</t>
    <rPh sb="1" eb="3">
      <t>キョリ</t>
    </rPh>
    <phoneticPr fontId="4"/>
  </si>
  <si>
    <t>Y距離</t>
    <rPh sb="1" eb="3">
      <t>キョリ</t>
    </rPh>
    <phoneticPr fontId="4"/>
  </si>
  <si>
    <t>Atan</t>
    <phoneticPr fontId="4"/>
  </si>
  <si>
    <t>Deg</t>
    <phoneticPr fontId="4"/>
  </si>
  <si>
    <t>相手角度</t>
    <rPh sb="0" eb="2">
      <t>アイテ</t>
    </rPh>
    <rPh sb="2" eb="4">
      <t>カクド</t>
    </rPh>
    <phoneticPr fontId="4"/>
  </si>
  <si>
    <t>物体A</t>
    <rPh sb="0" eb="2">
      <t>ブッタイ</t>
    </rPh>
    <phoneticPr fontId="4"/>
  </si>
  <si>
    <t>進行角</t>
    <rPh sb="0" eb="2">
      <t>シンコウ</t>
    </rPh>
    <rPh sb="2" eb="3">
      <t>カク</t>
    </rPh>
    <phoneticPr fontId="4"/>
  </si>
  <si>
    <t>B方向</t>
    <rPh sb="1" eb="3">
      <t>ホウコウ</t>
    </rPh>
    <phoneticPr fontId="4"/>
  </si>
  <si>
    <t>Aの反射角</t>
    <rPh sb="2" eb="4">
      <t>ハンシャ</t>
    </rPh>
    <rPh sb="4" eb="5">
      <t>カク</t>
    </rPh>
    <phoneticPr fontId="4"/>
  </si>
  <si>
    <t>→</t>
    <phoneticPr fontId="4"/>
  </si>
  <si>
    <t>↘</t>
    <phoneticPr fontId="4"/>
  </si>
  <si>
    <t>↙</t>
    <phoneticPr fontId="4"/>
  </si>
  <si>
    <t>←</t>
    <phoneticPr fontId="4"/>
  </si>
  <si>
    <t>↖</t>
    <phoneticPr fontId="4"/>
  </si>
  <si>
    <t>↑</t>
    <phoneticPr fontId="4"/>
  </si>
  <si>
    <t>↗</t>
    <phoneticPr fontId="4"/>
  </si>
  <si>
    <t>物体B</t>
    <rPh sb="0" eb="2">
      <t>ブッタイ</t>
    </rPh>
    <phoneticPr fontId="4"/>
  </si>
  <si>
    <t>角度範囲</t>
    <rPh sb="0" eb="2">
      <t>カクド</t>
    </rPh>
    <rPh sb="2" eb="4">
      <t>ハンイ</t>
    </rPh>
    <phoneticPr fontId="4"/>
  </si>
  <si>
    <t>　　→</t>
    <phoneticPr fontId="4"/>
  </si>
  <si>
    <t>　↘→</t>
    <phoneticPr fontId="4"/>
  </si>
  <si>
    <t>　　↘</t>
    <phoneticPr fontId="4"/>
  </si>
  <si>
    <t>　↓↘</t>
    <phoneticPr fontId="4"/>
  </si>
  <si>
    <t>　↓</t>
    <phoneticPr fontId="4"/>
  </si>
  <si>
    <t>↙↓</t>
    <phoneticPr fontId="4"/>
  </si>
  <si>
    <t>←↙</t>
    <phoneticPr fontId="4"/>
  </si>
  <si>
    <t>←↖</t>
    <phoneticPr fontId="4"/>
  </si>
  <si>
    <t>↖↑</t>
    <phoneticPr fontId="4"/>
  </si>
  <si>
    <t>　↑</t>
    <phoneticPr fontId="4"/>
  </si>
  <si>
    <t>　↑↗</t>
    <phoneticPr fontId="4"/>
  </si>
  <si>
    <t>　　↗</t>
    <phoneticPr fontId="4"/>
  </si>
  <si>
    <t>　↗→</t>
    <phoneticPr fontId="4"/>
  </si>
  <si>
    <t>横向きの絵で投げるモーション(構えと終わり)</t>
  </si>
  <si>
    <t>初めに表示。角度、威力選択時に使用</t>
    <rPh sb="0" eb="1">
      <t>ハジ</t>
    </rPh>
    <rPh sb="3" eb="5">
      <t>ヒョウジ</t>
    </rPh>
    <rPh sb="6" eb="8">
      <t>カクド</t>
    </rPh>
    <rPh sb="9" eb="11">
      <t>イリョク</t>
    </rPh>
    <rPh sb="11" eb="13">
      <t>センタク</t>
    </rPh>
    <rPh sb="13" eb="14">
      <t>ジ</t>
    </rPh>
    <rPh sb="15" eb="17">
      <t>シヨウ</t>
    </rPh>
    <phoneticPr fontId="4"/>
  </si>
  <si>
    <t>体育館</t>
    <phoneticPr fontId="4"/>
  </si>
  <si>
    <t>教室の前側</t>
    <rPh sb="0" eb="2">
      <t>キョウシツ</t>
    </rPh>
    <rPh sb="3" eb="5">
      <t>マエガワ</t>
    </rPh>
    <phoneticPr fontId="4"/>
  </si>
  <si>
    <t>教室の後ろ側</t>
    <rPh sb="0" eb="2">
      <t>キョウシツ</t>
    </rPh>
    <rPh sb="3" eb="4">
      <t>ウシ</t>
    </rPh>
    <rPh sb="5" eb="6">
      <t>ガワ</t>
    </rPh>
    <phoneticPr fontId="4"/>
  </si>
  <si>
    <t>教室の真ん中</t>
    <rPh sb="0" eb="2">
      <t>キョウシツ</t>
    </rPh>
    <rPh sb="3" eb="4">
      <t>マ</t>
    </rPh>
    <rPh sb="5" eb="6">
      <t>ナカ</t>
    </rPh>
    <phoneticPr fontId="4"/>
  </si>
  <si>
    <t>C</t>
    <phoneticPr fontId="4"/>
  </si>
  <si>
    <t>緑色で中にプラスマーク</t>
    <rPh sb="0" eb="1">
      <t>ミドリ</t>
    </rPh>
    <rPh sb="1" eb="2">
      <t>イロ</t>
    </rPh>
    <rPh sb="3" eb="4">
      <t>ナカ</t>
    </rPh>
    <phoneticPr fontId="4"/>
  </si>
  <si>
    <t>ゲーム画面の背景で使用</t>
    <rPh sb="3" eb="5">
      <t>ガメン</t>
    </rPh>
    <rPh sb="6" eb="8">
      <t>ハイケイ</t>
    </rPh>
    <rPh sb="9" eb="11">
      <t>シヨウ</t>
    </rPh>
    <phoneticPr fontId="4"/>
  </si>
  <si>
    <t>ゴールの判定で使用</t>
    <rPh sb="4" eb="6">
      <t>ハンテイ</t>
    </rPh>
    <rPh sb="7" eb="9">
      <t>シヨウ</t>
    </rPh>
    <phoneticPr fontId="4"/>
  </si>
  <si>
    <t>メイン</t>
    <phoneticPr fontId="4"/>
  </si>
  <si>
    <t>HP回復</t>
    <phoneticPr fontId="4"/>
  </si>
  <si>
    <t>HP回復用</t>
    <rPh sb="2" eb="4">
      <t>カイフク</t>
    </rPh>
    <rPh sb="4" eb="5">
      <t>ヨウ</t>
    </rPh>
    <phoneticPr fontId="4"/>
  </si>
  <si>
    <t>成功回数(残りHP表示)</t>
    <rPh sb="0" eb="2">
      <t>セイコウ</t>
    </rPh>
    <rPh sb="2" eb="4">
      <t>カイスウ</t>
    </rPh>
    <rPh sb="5" eb="6">
      <t>ノコ</t>
    </rPh>
    <rPh sb="9" eb="11">
      <t>ヒョウジ</t>
    </rPh>
    <phoneticPr fontId="4"/>
  </si>
  <si>
    <t>三段階で表示する(ゼロ～マックス)</t>
    <rPh sb="0" eb="3">
      <t>サンダンカイ</t>
    </rPh>
    <rPh sb="4" eb="6">
      <t>ヒョウジ</t>
    </rPh>
    <phoneticPr fontId="4"/>
  </si>
  <si>
    <t>威力、角度決定時に使用</t>
    <rPh sb="0" eb="2">
      <t>イリョク</t>
    </rPh>
    <rPh sb="3" eb="5">
      <t>カクド</t>
    </rPh>
    <rPh sb="5" eb="7">
      <t>ケッテイ</t>
    </rPh>
    <rPh sb="7" eb="8">
      <t>ジ</t>
    </rPh>
    <rPh sb="9" eb="11">
      <t>シヨウ</t>
    </rPh>
    <phoneticPr fontId="4"/>
  </si>
  <si>
    <t>ボールの飛び出す威力を決めるのに使用</t>
    <rPh sb="4" eb="5">
      <t>ト</t>
    </rPh>
    <rPh sb="6" eb="7">
      <t>ダ</t>
    </rPh>
    <rPh sb="8" eb="10">
      <t>イリョク</t>
    </rPh>
    <rPh sb="11" eb="12">
      <t>キ</t>
    </rPh>
    <rPh sb="16" eb="18">
      <t>シヨウ</t>
    </rPh>
    <phoneticPr fontId="4"/>
  </si>
  <si>
    <t>ボールの飛び出す角度を決めるのに使用</t>
    <rPh sb="4" eb="5">
      <t>ト</t>
    </rPh>
    <rPh sb="6" eb="7">
      <t>ダ</t>
    </rPh>
    <rPh sb="8" eb="10">
      <t>カクド</t>
    </rPh>
    <rPh sb="11" eb="12">
      <t>キ</t>
    </rPh>
    <rPh sb="16" eb="18">
      <t>シヨウ</t>
    </rPh>
    <phoneticPr fontId="4"/>
  </si>
  <si>
    <t>マンホール付き</t>
    <rPh sb="5" eb="6">
      <t>ツ</t>
    </rPh>
    <phoneticPr fontId="4"/>
  </si>
  <si>
    <t>タイトル画面で使用</t>
    <rPh sb="4" eb="6">
      <t>ガメン</t>
    </rPh>
    <rPh sb="7" eb="9">
      <t>シヨウ</t>
    </rPh>
    <phoneticPr fontId="4"/>
  </si>
  <si>
    <t>リザルト画面で失敗時に使用</t>
    <rPh sb="4" eb="6">
      <t>ガメン</t>
    </rPh>
    <rPh sb="7" eb="10">
      <t>シッパイジ</t>
    </rPh>
    <rPh sb="11" eb="13">
      <t>シヨウ</t>
    </rPh>
    <phoneticPr fontId="4"/>
  </si>
  <si>
    <t>リザルト画面で成功時に使用</t>
    <rPh sb="4" eb="6">
      <t>ガメン</t>
    </rPh>
    <rPh sb="7" eb="9">
      <t>セイコウ</t>
    </rPh>
    <rPh sb="9" eb="10">
      <t>ジ</t>
    </rPh>
    <rPh sb="11" eb="13">
      <t>シヨウ</t>
    </rPh>
    <phoneticPr fontId="4"/>
  </si>
  <si>
    <t>ゲーム画面を暗くするのに使用</t>
    <rPh sb="3" eb="5">
      <t>ガメン</t>
    </rPh>
    <rPh sb="6" eb="7">
      <t>クラ</t>
    </rPh>
    <rPh sb="12" eb="14">
      <t>シヨウ</t>
    </rPh>
    <phoneticPr fontId="4"/>
  </si>
  <si>
    <t>廊下</t>
    <phoneticPr fontId="4"/>
  </si>
  <si>
    <t>チームロゴ</t>
    <phoneticPr fontId="4"/>
  </si>
  <si>
    <t>発表時</t>
    <rPh sb="0" eb="3">
      <t>ハッピョウジ</t>
    </rPh>
    <phoneticPr fontId="4"/>
  </si>
  <si>
    <t>発表時に使用</t>
    <rPh sb="0" eb="2">
      <t>ハッピョウ</t>
    </rPh>
    <rPh sb="2" eb="3">
      <t>ジ</t>
    </rPh>
    <rPh sb="4" eb="6">
      <t>シヨウ</t>
    </rPh>
    <phoneticPr fontId="4"/>
  </si>
  <si>
    <t>マンホールの横幅140</t>
    <rPh sb="6" eb="7">
      <t>ヨコ</t>
    </rPh>
    <rPh sb="7" eb="8">
      <t>ハバ</t>
    </rPh>
    <phoneticPr fontId="4"/>
  </si>
  <si>
    <t>Z</t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</si>
  <si>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</si>
  <si>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</si>
  <si>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</si>
  <si>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</si>
  <si>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Zで戻る</t>
    <rPh sb="2" eb="3">
      <t>モド</t>
    </rPh>
    <phoneticPr fontId="4"/>
  </si>
  <si>
    <t>プレイ中タイトルに戻る</t>
    <rPh sb="3" eb="4">
      <t>チュウ</t>
    </rPh>
    <rPh sb="9" eb="10">
      <t>モド</t>
    </rPh>
    <phoneticPr fontId="4"/>
  </si>
  <si>
    <t>ゲームをプレイ中にEnterを押すとタイトルに戻ってしまう</t>
    <rPh sb="7" eb="8">
      <t>チュウ</t>
    </rPh>
    <rPh sb="15" eb="16">
      <t>オ</t>
    </rPh>
    <rPh sb="23" eb="24">
      <t>モド</t>
    </rPh>
    <phoneticPr fontId="4"/>
  </si>
  <si>
    <t>背景が描画されない</t>
    <rPh sb="0" eb="2">
      <t>ハイケイ</t>
    </rPh>
    <rPh sb="3" eb="5">
      <t>ビョウガ</t>
    </rPh>
    <phoneticPr fontId="4"/>
  </si>
  <si>
    <t>1回目に室内を選んでプレイしたあとに２回目に室外を選ぶと背景画像が消える</t>
    <rPh sb="1" eb="3">
      <t>カイメ</t>
    </rPh>
    <rPh sb="4" eb="6">
      <t>シツナイ</t>
    </rPh>
    <rPh sb="7" eb="8">
      <t>エラ</t>
    </rPh>
    <rPh sb="19" eb="21">
      <t>カイメ</t>
    </rPh>
    <rPh sb="22" eb="24">
      <t>シツガイ</t>
    </rPh>
    <rPh sb="25" eb="26">
      <t>エラ</t>
    </rPh>
    <rPh sb="28" eb="30">
      <t>ハイケイ</t>
    </rPh>
    <rPh sb="30" eb="32">
      <t>ガゾウ</t>
    </rPh>
    <rPh sb="33" eb="34">
      <t>キ</t>
    </rPh>
    <phoneticPr fontId="4"/>
  </si>
  <si>
    <t>・角度決定</t>
    <rPh sb="1" eb="3">
      <t>カクド</t>
    </rPh>
    <rPh sb="3" eb="5">
      <t>ケッテイ</t>
    </rPh>
    <phoneticPr fontId="4"/>
  </si>
  <si>
    <t>・威力決定</t>
    <rPh sb="1" eb="5">
      <t>イリョクケッテイ</t>
    </rPh>
    <phoneticPr fontId="4"/>
  </si>
  <si>
    <t>すぐ描画される</t>
    <rPh sb="2" eb="4">
      <t>ビョウガ</t>
    </rPh>
    <phoneticPr fontId="4"/>
  </si>
  <si>
    <t>２回目に遊ぶ際背景がスクロールせずゴールが出てくる</t>
    <rPh sb="1" eb="3">
      <t>カイメ</t>
    </rPh>
    <rPh sb="4" eb="5">
      <t>アソ</t>
    </rPh>
    <rPh sb="6" eb="7">
      <t>サイ</t>
    </rPh>
    <rPh sb="7" eb="9">
      <t>ハイケイ</t>
    </rPh>
    <rPh sb="21" eb="22">
      <t>デ</t>
    </rPh>
    <phoneticPr fontId="4"/>
  </si>
  <si>
    <t>選択画面</t>
    <rPh sb="0" eb="2">
      <t>センタク</t>
    </rPh>
    <rPh sb="2" eb="4">
      <t>ガメン</t>
    </rPh>
    <phoneticPr fontId="4"/>
  </si>
  <si>
    <t>選択</t>
    <rPh sb="0" eb="2">
      <t>センタク</t>
    </rPh>
    <phoneticPr fontId="4"/>
  </si>
  <si>
    <t>(例)ＩＮＩＴＩＡＬＩＺＥ</t>
    <rPh sb="1" eb="2">
      <t>レイ</t>
    </rPh>
    <phoneticPr fontId="4"/>
  </si>
  <si>
    <t>・スタート（ボールが跳ねる）</t>
    <rPh sb="10" eb="11">
      <t>ハ</t>
    </rPh>
    <phoneticPr fontId="4"/>
  </si>
  <si>
    <t>・キャラクター描画</t>
    <rPh sb="7" eb="9">
      <t>ビョウガ</t>
    </rPh>
    <phoneticPr fontId="4"/>
  </si>
  <si>
    <t>ゴール判定</t>
    <rPh sb="3" eb="5">
      <t>ハンテイ</t>
    </rPh>
    <phoneticPr fontId="4"/>
  </si>
  <si>
    <t>・ゴールに入ったか</t>
    <rPh sb="5" eb="6">
      <t>ハイ</t>
    </rPh>
    <phoneticPr fontId="4"/>
  </si>
  <si>
    <t>・ゴールに入らず画面外に行ったか</t>
    <rPh sb="5" eb="6">
      <t>ハイ</t>
    </rPh>
    <rPh sb="8" eb="11">
      <t>ガメンガイ</t>
    </rPh>
    <rPh sb="12" eb="13">
      <t>イ</t>
    </rPh>
    <phoneticPr fontId="4"/>
  </si>
  <si>
    <t>床の判定</t>
    <rPh sb="0" eb="1">
      <t>ユカ</t>
    </rPh>
    <rPh sb="2" eb="4">
      <t>ハンテイ</t>
    </rPh>
    <phoneticPr fontId="4"/>
  </si>
  <si>
    <t>・床についたタイミングでキー入力されたか</t>
    <rPh sb="1" eb="2">
      <t>ユカ</t>
    </rPh>
    <rPh sb="14" eb="16">
      <t>ニュウリョク</t>
    </rPh>
    <phoneticPr fontId="4"/>
  </si>
  <si>
    <t>アイテム判定</t>
    <rPh sb="4" eb="6">
      <t>ハンテイ</t>
    </rPh>
    <phoneticPr fontId="4"/>
  </si>
  <si>
    <t>・回復アイテム判定</t>
    <rPh sb="1" eb="3">
      <t>カイフク</t>
    </rPh>
    <rPh sb="7" eb="9">
      <t>ハンテイ</t>
    </rPh>
    <phoneticPr fontId="4"/>
  </si>
  <si>
    <t>選択画面で使用</t>
    <rPh sb="0" eb="2">
      <t>センタク</t>
    </rPh>
    <rPh sb="2" eb="4">
      <t>ガメン</t>
    </rPh>
    <rPh sb="5" eb="7">
      <t>シヨウ</t>
    </rPh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</si>
  <si>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</si>
  <si>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</si>
  <si>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</si>
  <si>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</si>
  <si>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アイテムの入手</t>
    <rPh sb="5" eb="7">
      <t>ニュウシュ</t>
    </rPh>
    <phoneticPr fontId="4"/>
  </si>
  <si>
    <t>タイムオーバー</t>
    <phoneticPr fontId="4"/>
  </si>
  <si>
    <t>時間内にアイテムを見つけ入手する</t>
    <rPh sb="0" eb="3">
      <t>ジカンナイ</t>
    </rPh>
    <rPh sb="9" eb="10">
      <t>ミ</t>
    </rPh>
    <rPh sb="12" eb="14">
      <t>ニュウシュ</t>
    </rPh>
    <phoneticPr fontId="4"/>
  </si>
  <si>
    <t>▼失敗条件</t>
    <phoneticPr fontId="4"/>
  </si>
  <si>
    <t>タイムオーバーによる残機の全消費</t>
    <rPh sb="10" eb="12">
      <t>ザンキ</t>
    </rPh>
    <rPh sb="13" eb="14">
      <t>ゼン</t>
    </rPh>
    <rPh sb="14" eb="16">
      <t>ショウヒ</t>
    </rPh>
    <phoneticPr fontId="4"/>
  </si>
  <si>
    <t>残機全消費</t>
    <rPh sb="0" eb="2">
      <t>ザンキ</t>
    </rPh>
    <rPh sb="2" eb="3">
      <t>ゼン</t>
    </rPh>
    <rPh sb="3" eb="5">
      <t>ショウヒ</t>
    </rPh>
    <phoneticPr fontId="4"/>
  </si>
  <si>
    <t>家の中で起床</t>
    <rPh sb="0" eb="1">
      <t>イエ</t>
    </rPh>
    <rPh sb="2" eb="3">
      <t>ナカ</t>
    </rPh>
    <rPh sb="4" eb="6">
      <t>キショウ</t>
    </rPh>
    <phoneticPr fontId="4"/>
  </si>
  <si>
    <t>アイテム収集</t>
    <rPh sb="4" eb="6">
      <t>シュウシュウ</t>
    </rPh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</si>
  <si>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</si>
  <si>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</si>
  <si>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</si>
  <si>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</si>
  <si>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</si>
  <si>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</si>
  <si>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</si>
  <si>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</si>
  <si>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</si>
  <si>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</si>
  <si>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</si>
  <si>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帰宅</t>
    <rPh sb="0" eb="2">
      <t>キタク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</si>
</sst>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;[Red]0"/>
    <numFmt numFmtId="177" formatCode="[$-F400]h:mm:ss\ AM/PM"/>
  </numFmts>
  <fonts count="32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sz val="22"/>
      <color theme="1"/>
      <name val="游ゴシック"/>
      <family val="3"/>
      <charset val="128"/>
      <scheme val="minor"/>
    </font>
    <font>
      <b/>
      <strike/>
      <sz val="24"/>
      <color theme="1"/>
      <name val="游ゴシック"/>
      <family val="3"/>
      <charset val="128"/>
      <scheme val="minor"/>
    </font>
    <font>
      <b/>
      <sz val="20"/>
      <color theme="1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trike/>
      <sz val="11"/>
      <color theme="1"/>
      <name val="游ゴシック"/>
      <family val="2"/>
      <scheme val="minor"/>
    </font>
    <font>
      <strike/>
      <sz val="11"/>
      <color theme="1"/>
      <name val="游ゴシック"/>
      <family val="3"/>
      <charset val="128"/>
      <scheme val="minor"/>
    </font>
    <font>
      <strike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5897B"/>
        <bgColor indexed="64"/>
      </patternFill>
    </fill>
    <fill>
      <patternFill patternType="solid">
        <fgColor rgb="FFDE8EC3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3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1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16" xfId="0" applyBorder="1" applyAlignment="1">
      <alignment shrinkToFit="1"/>
    </xf>
    <xf numFmtId="0" fontId="0" fillId="0" borderId="17" xfId="0" applyBorder="1" applyAlignment="1">
      <alignment shrinkToFit="1"/>
    </xf>
    <xf numFmtId="0" fontId="0" fillId="0" borderId="18" xfId="0" applyBorder="1" applyAlignment="1">
      <alignment shrinkToFit="1"/>
    </xf>
    <xf numFmtId="0" fontId="0" fillId="0" borderId="19" xfId="0" applyBorder="1" applyAlignment="1">
      <alignment shrinkToFit="1"/>
    </xf>
    <xf numFmtId="0" fontId="0" fillId="0" borderId="20" xfId="0" applyBorder="1" applyAlignment="1">
      <alignment shrinkToFit="1"/>
    </xf>
    <xf numFmtId="0" fontId="9" fillId="0" borderId="14" xfId="0" applyFont="1" applyBorder="1" applyAlignment="1">
      <alignment vertical="center" shrinkToFit="1"/>
    </xf>
    <xf numFmtId="0" fontId="10" fillId="0" borderId="14" xfId="0" applyFont="1" applyBorder="1" applyAlignment="1">
      <alignment vertical="center" shrinkToFit="1"/>
    </xf>
    <xf numFmtId="0" fontId="8" fillId="0" borderId="14" xfId="0" applyFont="1" applyBorder="1" applyAlignment="1">
      <alignment vertical="center" shrinkToFit="1"/>
    </xf>
    <xf numFmtId="0" fontId="9" fillId="0" borderId="15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0" fontId="9" fillId="0" borderId="17" xfId="0" applyFont="1" applyBorder="1" applyAlignment="1">
      <alignment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5" fillId="4" borderId="0" xfId="1" applyFill="1" applyAlignment="1"/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 applyAlignment="1">
      <alignment horizontal="left"/>
    </xf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76" fontId="0" fillId="0" borderId="0" xfId="0" applyNumberFormat="1" applyAlignment="1">
      <alignment shrinkToFit="1"/>
    </xf>
    <xf numFmtId="176" fontId="0" fillId="0" borderId="8" xfId="0" applyNumberFormat="1" applyBorder="1" applyAlignment="1">
      <alignment shrinkToFit="1"/>
    </xf>
    <xf numFmtId="176" fontId="0" fillId="0" borderId="22" xfId="0" applyNumberFormat="1" applyBorder="1" applyAlignment="1">
      <alignment shrinkToFit="1"/>
    </xf>
    <xf numFmtId="176" fontId="0" fillId="0" borderId="9" xfId="0" applyNumberFormat="1" applyBorder="1" applyAlignment="1">
      <alignment shrinkToFit="1"/>
    </xf>
    <xf numFmtId="0" fontId="0" fillId="3" borderId="1" xfId="0" applyFill="1" applyBorder="1"/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7" fontId="0" fillId="6" borderId="1" xfId="0" applyNumberFormat="1" applyFill="1" applyBorder="1" applyAlignment="1">
      <alignment vertical="top"/>
    </xf>
    <xf numFmtId="177" fontId="0" fillId="0" borderId="1" xfId="0" applyNumberFormat="1" applyBorder="1"/>
    <xf numFmtId="177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15" fillId="0" borderId="35" xfId="0" applyFont="1" applyBorder="1"/>
    <xf numFmtId="0" fontId="0" fillId="0" borderId="21" xfId="0" applyBorder="1"/>
    <xf numFmtId="0" fontId="0" fillId="0" borderId="8" xfId="0" applyBorder="1"/>
    <xf numFmtId="0" fontId="17" fillId="0" borderId="35" xfId="0" applyFont="1" applyBorder="1"/>
    <xf numFmtId="0" fontId="17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7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7" xfId="3" applyFont="1" applyBorder="1" applyAlignment="1">
      <alignment vertical="center"/>
    </xf>
    <xf numFmtId="177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12" borderId="0" xfId="0" applyFill="1"/>
    <xf numFmtId="0" fontId="0" fillId="12" borderId="24" xfId="0" applyFill="1" applyBorder="1"/>
    <xf numFmtId="0" fontId="0" fillId="12" borderId="23" xfId="0" applyFill="1" applyBorder="1"/>
    <xf numFmtId="0" fontId="0" fillId="12" borderId="11" xfId="0" applyFill="1" applyBorder="1"/>
    <xf numFmtId="0" fontId="0" fillId="12" borderId="25" xfId="0" applyFill="1" applyBorder="1"/>
    <xf numFmtId="0" fontId="0" fillId="12" borderId="10" xfId="0" applyFill="1" applyBorder="1"/>
    <xf numFmtId="0" fontId="0" fillId="13" borderId="25" xfId="0" applyFill="1" applyBorder="1"/>
    <xf numFmtId="0" fontId="0" fillId="13" borderId="0" xfId="0" applyFill="1"/>
    <xf numFmtId="0" fontId="0" fillId="13" borderId="24" xfId="0" applyFill="1" applyBorder="1"/>
    <xf numFmtId="0" fontId="22" fillId="12" borderId="0" xfId="0" applyFont="1" applyFill="1"/>
    <xf numFmtId="0" fontId="0" fillId="9" borderId="46" xfId="0" applyFill="1" applyBorder="1"/>
    <xf numFmtId="0" fontId="0" fillId="9" borderId="47" xfId="0" applyFill="1" applyBorder="1"/>
    <xf numFmtId="0" fontId="0" fillId="9" borderId="48" xfId="0" applyFill="1" applyBorder="1"/>
    <xf numFmtId="0" fontId="0" fillId="10" borderId="49" xfId="0" applyFill="1" applyBorder="1"/>
    <xf numFmtId="0" fontId="0" fillId="11" borderId="48" xfId="0" applyFill="1" applyBorder="1"/>
    <xf numFmtId="0" fontId="0" fillId="14" borderId="32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14" borderId="25" xfId="0" applyFill="1" applyBorder="1"/>
    <xf numFmtId="0" fontId="0" fillId="14" borderId="0" xfId="0" applyFill="1"/>
    <xf numFmtId="0" fontId="0" fillId="14" borderId="24" xfId="0" applyFill="1" applyBorder="1"/>
    <xf numFmtId="0" fontId="0" fillId="15" borderId="0" xfId="0" applyFill="1"/>
    <xf numFmtId="0" fontId="0" fillId="6" borderId="0" xfId="0" applyFill="1"/>
    <xf numFmtId="0" fontId="0" fillId="16" borderId="0" xfId="0" applyFill="1"/>
    <xf numFmtId="0" fontId="0" fillId="17" borderId="0" xfId="0" applyFill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56" fontId="0" fillId="0" borderId="1" xfId="0" applyNumberFormat="1" applyBorder="1"/>
    <xf numFmtId="0" fontId="12" fillId="0" borderId="0" xfId="0" applyFont="1" applyAlignment="1">
      <alignment horizontal="center"/>
    </xf>
    <xf numFmtId="0" fontId="5" fillId="0" borderId="9" xfId="1" applyBorder="1"/>
    <xf numFmtId="0" fontId="0" fillId="13" borderId="0" xfId="0" applyFill="1" applyAlignment="1">
      <alignment shrinkToFit="1"/>
    </xf>
    <xf numFmtId="0" fontId="0" fillId="14" borderId="0" xfId="0" applyFill="1" applyAlignment="1">
      <alignment shrinkToFit="1"/>
    </xf>
    <xf numFmtId="0" fontId="0" fillId="18" borderId="0" xfId="0" applyFill="1" applyAlignment="1">
      <alignment shrinkToFit="1"/>
    </xf>
    <xf numFmtId="0" fontId="0" fillId="14" borderId="7" xfId="0" applyFill="1" applyBorder="1" applyAlignment="1">
      <alignment shrinkToFit="1"/>
    </xf>
    <xf numFmtId="0" fontId="0" fillId="14" borderId="14" xfId="0" applyFill="1" applyBorder="1" applyAlignment="1">
      <alignment shrinkToFit="1"/>
    </xf>
    <xf numFmtId="0" fontId="0" fillId="13" borderId="14" xfId="0" applyFill="1" applyBorder="1" applyAlignment="1">
      <alignment shrinkToFit="1"/>
    </xf>
    <xf numFmtId="0" fontId="0" fillId="14" borderId="15" xfId="0" applyFill="1" applyBorder="1" applyAlignment="1">
      <alignment shrinkToFit="1"/>
    </xf>
    <xf numFmtId="0" fontId="0" fillId="14" borderId="16" xfId="0" applyFill="1" applyBorder="1" applyAlignment="1">
      <alignment shrinkToFit="1"/>
    </xf>
    <xf numFmtId="0" fontId="0" fillId="14" borderId="17" xfId="0" applyFill="1" applyBorder="1" applyAlignment="1">
      <alignment shrinkToFit="1"/>
    </xf>
    <xf numFmtId="0" fontId="0" fillId="3" borderId="18" xfId="0" applyFill="1" applyBorder="1" applyAlignment="1">
      <alignment shrinkToFit="1"/>
    </xf>
    <xf numFmtId="0" fontId="0" fillId="3" borderId="19" xfId="0" applyFill="1" applyBorder="1" applyAlignment="1">
      <alignment shrinkToFit="1"/>
    </xf>
    <xf numFmtId="0" fontId="0" fillId="3" borderId="20" xfId="0" applyFill="1" applyBorder="1" applyAlignment="1">
      <alignment shrinkToFit="1"/>
    </xf>
    <xf numFmtId="0" fontId="0" fillId="19" borderId="16" xfId="0" applyFill="1" applyBorder="1" applyAlignment="1">
      <alignment shrinkToFit="1"/>
    </xf>
    <xf numFmtId="0" fontId="0" fillId="19" borderId="0" xfId="0" applyFill="1" applyAlignment="1">
      <alignment shrinkToFit="1"/>
    </xf>
    <xf numFmtId="0" fontId="0" fillId="20" borderId="0" xfId="0" applyFill="1" applyAlignment="1">
      <alignment shrinkToFit="1"/>
    </xf>
    <xf numFmtId="0" fontId="24" fillId="19" borderId="16" xfId="0" applyFont="1" applyFill="1" applyBorder="1" applyAlignment="1">
      <alignment shrinkToFit="1"/>
    </xf>
    <xf numFmtId="0" fontId="0" fillId="2" borderId="18" xfId="0" applyFill="1" applyBorder="1" applyAlignment="1">
      <alignment shrinkToFit="1"/>
    </xf>
    <xf numFmtId="0" fontId="0" fillId="2" borderId="19" xfId="0" applyFill="1" applyBorder="1" applyAlignment="1">
      <alignment shrinkToFit="1"/>
    </xf>
    <xf numFmtId="0" fontId="0" fillId="2" borderId="20" xfId="0" applyFill="1" applyBorder="1" applyAlignment="1">
      <alignment shrinkToFit="1"/>
    </xf>
    <xf numFmtId="0" fontId="0" fillId="19" borderId="17" xfId="0" applyFill="1" applyBorder="1" applyAlignment="1">
      <alignment shrinkToFit="1"/>
    </xf>
    <xf numFmtId="0" fontId="0" fillId="12" borderId="7" xfId="0" applyFill="1" applyBorder="1" applyAlignment="1">
      <alignment shrinkToFit="1"/>
    </xf>
    <xf numFmtId="0" fontId="0" fillId="12" borderId="14" xfId="0" applyFill="1" applyBorder="1" applyAlignment="1">
      <alignment shrinkToFit="1"/>
    </xf>
    <xf numFmtId="0" fontId="0" fillId="12" borderId="15" xfId="0" applyFill="1" applyBorder="1" applyAlignment="1">
      <alignment shrinkToFit="1"/>
    </xf>
    <xf numFmtId="0" fontId="0" fillId="17" borderId="0" xfId="0" applyFill="1" applyAlignment="1">
      <alignment shrinkToFit="1"/>
    </xf>
    <xf numFmtId="0" fontId="24" fillId="14" borderId="0" xfId="0" applyFont="1" applyFill="1" applyAlignment="1">
      <alignment shrinkToFit="1"/>
    </xf>
    <xf numFmtId="0" fontId="0" fillId="3" borderId="0" xfId="0" applyFill="1" applyAlignment="1">
      <alignment shrinkToFit="1"/>
    </xf>
    <xf numFmtId="0" fontId="26" fillId="0" borderId="0" xfId="0" applyFont="1" applyAlignment="1">
      <alignment vertical="center" shrinkToFit="1"/>
    </xf>
    <xf numFmtId="0" fontId="0" fillId="21" borderId="18" xfId="0" applyFill="1" applyBorder="1" applyAlignment="1">
      <alignment shrinkToFit="1"/>
    </xf>
    <xf numFmtId="0" fontId="0" fillId="21" borderId="19" xfId="0" applyFill="1" applyBorder="1" applyAlignment="1">
      <alignment shrinkToFit="1"/>
    </xf>
    <xf numFmtId="0" fontId="24" fillId="21" borderId="19" xfId="0" applyFont="1" applyFill="1" applyBorder="1" applyAlignment="1">
      <alignment shrinkToFit="1"/>
    </xf>
    <xf numFmtId="0" fontId="0" fillId="21" borderId="20" xfId="0" applyFill="1" applyBorder="1" applyAlignment="1">
      <alignment shrinkToFit="1"/>
    </xf>
    <xf numFmtId="0" fontId="0" fillId="22" borderId="7" xfId="0" applyFill="1" applyBorder="1" applyAlignment="1">
      <alignment shrinkToFit="1"/>
    </xf>
    <xf numFmtId="0" fontId="0" fillId="22" borderId="14" xfId="0" applyFill="1" applyBorder="1" applyAlignment="1">
      <alignment shrinkToFit="1"/>
    </xf>
    <xf numFmtId="0" fontId="0" fillId="22" borderId="15" xfId="0" applyFill="1" applyBorder="1" applyAlignment="1">
      <alignment shrinkToFit="1"/>
    </xf>
    <xf numFmtId="0" fontId="0" fillId="10" borderId="17" xfId="0" applyFill="1" applyBorder="1" applyAlignment="1">
      <alignment shrinkToFit="1"/>
    </xf>
    <xf numFmtId="0" fontId="24" fillId="21" borderId="20" xfId="0" applyFont="1" applyFill="1" applyBorder="1" applyAlignment="1">
      <alignment shrinkToFit="1"/>
    </xf>
    <xf numFmtId="0" fontId="0" fillId="23" borderId="16" xfId="0" applyFill="1" applyBorder="1" applyAlignment="1">
      <alignment shrinkToFit="1"/>
    </xf>
    <xf numFmtId="0" fontId="0" fillId="23" borderId="0" xfId="0" applyFill="1" applyAlignment="1">
      <alignment shrinkToFit="1"/>
    </xf>
    <xf numFmtId="0" fontId="0" fillId="24" borderId="0" xfId="0" applyFill="1" applyAlignment="1">
      <alignment shrinkToFit="1"/>
    </xf>
    <xf numFmtId="0" fontId="0" fillId="23" borderId="17" xfId="0" applyFill="1" applyBorder="1" applyAlignment="1">
      <alignment shrinkToFit="1"/>
    </xf>
    <xf numFmtId="0" fontId="0" fillId="25" borderId="7" xfId="0" applyFill="1" applyBorder="1" applyAlignment="1">
      <alignment shrinkToFit="1"/>
    </xf>
    <xf numFmtId="0" fontId="0" fillId="25" borderId="14" xfId="0" applyFill="1" applyBorder="1" applyAlignment="1">
      <alignment shrinkToFit="1"/>
    </xf>
    <xf numFmtId="0" fontId="0" fillId="25" borderId="15" xfId="0" applyFill="1" applyBorder="1" applyAlignment="1">
      <alignment shrinkToFit="1"/>
    </xf>
    <xf numFmtId="0" fontId="0" fillId="15" borderId="0" xfId="0" applyFill="1" applyAlignment="1">
      <alignment shrinkToFit="1"/>
    </xf>
    <xf numFmtId="0" fontId="0" fillId="24" borderId="16" xfId="0" applyFill="1" applyBorder="1" applyAlignment="1">
      <alignment shrinkToFit="1"/>
    </xf>
    <xf numFmtId="0" fontId="0" fillId="26" borderId="0" xfId="0" applyFill="1" applyAlignment="1">
      <alignment shrinkToFit="1"/>
    </xf>
    <xf numFmtId="0" fontId="0" fillId="26" borderId="17" xfId="0" applyFill="1" applyBorder="1" applyAlignment="1">
      <alignment shrinkToFit="1"/>
    </xf>
    <xf numFmtId="0" fontId="0" fillId="26" borderId="7" xfId="0" applyFill="1" applyBorder="1" applyAlignment="1">
      <alignment shrinkToFit="1"/>
    </xf>
    <xf numFmtId="0" fontId="0" fillId="26" borderId="14" xfId="0" applyFill="1" applyBorder="1" applyAlignment="1">
      <alignment shrinkToFit="1"/>
    </xf>
    <xf numFmtId="0" fontId="0" fillId="26" borderId="15" xfId="0" applyFill="1" applyBorder="1" applyAlignment="1">
      <alignment shrinkToFit="1"/>
    </xf>
    <xf numFmtId="0" fontId="0" fillId="26" borderId="16" xfId="0" applyFill="1" applyBorder="1" applyAlignment="1">
      <alignment shrinkToFit="1"/>
    </xf>
    <xf numFmtId="0" fontId="0" fillId="13" borderId="16" xfId="0" applyFill="1" applyBorder="1" applyAlignment="1">
      <alignment shrinkToFit="1"/>
    </xf>
    <xf numFmtId="0" fontId="0" fillId="13" borderId="17" xfId="0" applyFill="1" applyBorder="1" applyAlignment="1">
      <alignment shrinkToFit="1"/>
    </xf>
    <xf numFmtId="0" fontId="0" fillId="27" borderId="0" xfId="0" applyFill="1" applyAlignment="1">
      <alignment shrinkToFit="1"/>
    </xf>
    <xf numFmtId="0" fontId="0" fillId="0" borderId="51" xfId="0" applyBorder="1"/>
    <xf numFmtId="0" fontId="0" fillId="0" borderId="0" xfId="0" applyAlignment="1">
      <alignment vertical="center" shrinkToFit="1"/>
    </xf>
    <xf numFmtId="0" fontId="24" fillId="0" borderId="0" xfId="0" applyFont="1" applyAlignment="1">
      <alignment shrinkToFit="1"/>
    </xf>
    <xf numFmtId="0" fontId="27" fillId="0" borderId="0" xfId="0" applyFont="1" applyAlignment="1">
      <alignment vertical="center" shrinkToFit="1"/>
    </xf>
    <xf numFmtId="0" fontId="0" fillId="20" borderId="24" xfId="0" applyFill="1" applyBorder="1" applyAlignment="1">
      <alignment shrinkToFit="1"/>
    </xf>
    <xf numFmtId="0" fontId="0" fillId="20" borderId="11" xfId="0" applyFill="1" applyBorder="1" applyAlignment="1">
      <alignment shrinkToFit="1"/>
    </xf>
    <xf numFmtId="0" fontId="0" fillId="20" borderId="23" xfId="0" applyFill="1" applyBorder="1" applyAlignment="1">
      <alignment shrinkToFit="1"/>
    </xf>
    <xf numFmtId="0" fontId="0" fillId="20" borderId="24" xfId="0" applyFill="1" applyBorder="1" applyAlignment="1">
      <alignment horizontal="center" vertical="center" shrinkToFit="1"/>
    </xf>
    <xf numFmtId="0" fontId="0" fillId="20" borderId="0" xfId="0" applyFill="1" applyAlignment="1">
      <alignment horizontal="center" vertical="center" shrinkToFit="1"/>
    </xf>
    <xf numFmtId="0" fontId="0" fillId="14" borderId="32" xfId="0" applyFill="1" applyBorder="1" applyAlignment="1">
      <alignment horizontal="center" vertical="center" shrinkToFit="1"/>
    </xf>
    <xf numFmtId="0" fontId="0" fillId="14" borderId="33" xfId="0" applyFill="1" applyBorder="1" applyAlignment="1">
      <alignment horizontal="center" vertical="center" shrinkToFit="1"/>
    </xf>
    <xf numFmtId="0" fontId="0" fillId="14" borderId="25" xfId="0" applyFill="1" applyBorder="1" applyAlignment="1">
      <alignment horizontal="center" vertical="center" shrinkToFit="1"/>
    </xf>
    <xf numFmtId="0" fontId="0" fillId="14" borderId="0" xfId="0" applyFill="1" applyAlignment="1">
      <alignment horizontal="center" vertical="center" shrinkToFit="1"/>
    </xf>
    <xf numFmtId="0" fontId="0" fillId="14" borderId="25" xfId="0" applyFill="1" applyBorder="1" applyAlignment="1">
      <alignment shrinkToFit="1"/>
    </xf>
    <xf numFmtId="0" fontId="0" fillId="14" borderId="10" xfId="0" applyFill="1" applyBorder="1" applyAlignment="1">
      <alignment shrinkToFit="1"/>
    </xf>
    <xf numFmtId="0" fontId="0" fillId="14" borderId="23" xfId="0" applyFill="1" applyBorder="1" applyAlignment="1">
      <alignment shrinkToFit="1"/>
    </xf>
    <xf numFmtId="0" fontId="0" fillId="28" borderId="0" xfId="0" applyFill="1" applyAlignment="1">
      <alignment shrinkToFit="1"/>
    </xf>
    <xf numFmtId="0" fontId="0" fillId="28" borderId="0" xfId="0" applyFill="1" applyAlignment="1">
      <alignment horizontal="center" vertical="center" shrinkToFit="1"/>
    </xf>
    <xf numFmtId="0" fontId="0" fillId="28" borderId="33" xfId="0" applyFill="1" applyBorder="1" applyAlignment="1">
      <alignment horizontal="center" vertical="center" shrinkToFit="1"/>
    </xf>
    <xf numFmtId="0" fontId="0" fillId="28" borderId="34" xfId="0" applyFill="1" applyBorder="1" applyAlignment="1">
      <alignment horizontal="center" vertical="center" shrinkToFit="1"/>
    </xf>
    <xf numFmtId="0" fontId="10" fillId="14" borderId="32" xfId="0" applyFont="1" applyFill="1" applyBorder="1" applyAlignment="1">
      <alignment vertical="center" shrinkToFit="1"/>
    </xf>
    <xf numFmtId="0" fontId="10" fillId="14" borderId="33" xfId="0" applyFont="1" applyFill="1" applyBorder="1" applyAlignment="1">
      <alignment vertical="center" shrinkToFit="1"/>
    </xf>
    <xf numFmtId="0" fontId="10" fillId="14" borderId="25" xfId="0" applyFont="1" applyFill="1" applyBorder="1" applyAlignment="1">
      <alignment vertical="center" shrinkToFit="1"/>
    </xf>
    <xf numFmtId="0" fontId="10" fillId="14" borderId="0" xfId="0" applyFont="1" applyFill="1" applyAlignment="1">
      <alignment vertical="center" shrinkToFit="1"/>
    </xf>
    <xf numFmtId="0" fontId="0" fillId="14" borderId="32" xfId="0" applyFill="1" applyBorder="1" applyAlignment="1">
      <alignment shrinkToFit="1"/>
    </xf>
    <xf numFmtId="0" fontId="0" fillId="14" borderId="33" xfId="0" applyFill="1" applyBorder="1" applyAlignment="1">
      <alignment shrinkToFit="1"/>
    </xf>
    <xf numFmtId="0" fontId="0" fillId="14" borderId="10" xfId="0" applyFill="1" applyBorder="1" applyAlignment="1">
      <alignment vertical="center" shrinkToFit="1"/>
    </xf>
    <xf numFmtId="0" fontId="0" fillId="14" borderId="23" xfId="0" applyFill="1" applyBorder="1" applyAlignment="1">
      <alignment vertical="center" shrinkToFit="1"/>
    </xf>
    <xf numFmtId="0" fontId="27" fillId="14" borderId="23" xfId="0" applyFont="1" applyFill="1" applyBorder="1" applyAlignment="1">
      <alignment vertical="center" shrinkToFit="1"/>
    </xf>
    <xf numFmtId="0" fontId="0" fillId="20" borderId="11" xfId="0" applyFill="1" applyBorder="1" applyAlignment="1">
      <alignment vertical="center" shrinkToFit="1"/>
    </xf>
    <xf numFmtId="0" fontId="0" fillId="20" borderId="23" xfId="0" applyFill="1" applyBorder="1" applyAlignment="1">
      <alignment vertical="center" shrinkToFit="1"/>
    </xf>
    <xf numFmtId="0" fontId="0" fillId="18" borderId="33" xfId="0" applyFill="1" applyBorder="1" applyAlignment="1">
      <alignment horizontal="center" vertical="center" shrinkToFit="1"/>
    </xf>
    <xf numFmtId="0" fontId="0" fillId="18" borderId="0" xfId="0" applyFill="1" applyAlignment="1">
      <alignment horizontal="center" vertical="center" shrinkToFit="1"/>
    </xf>
    <xf numFmtId="0" fontId="0" fillId="18" borderId="34" xfId="0" applyFill="1" applyBorder="1" applyAlignment="1">
      <alignment horizontal="center" vertical="center" shrinkToFit="1"/>
    </xf>
    <xf numFmtId="0" fontId="0" fillId="18" borderId="10" xfId="0" applyFill="1" applyBorder="1" applyAlignment="1">
      <alignment shrinkToFit="1"/>
    </xf>
    <xf numFmtId="0" fontId="0" fillId="18" borderId="23" xfId="0" applyFill="1" applyBorder="1" applyAlignment="1">
      <alignment shrinkToFit="1"/>
    </xf>
    <xf numFmtId="0" fontId="0" fillId="13" borderId="10" xfId="0" applyFill="1" applyBorder="1" applyAlignment="1">
      <alignment vertical="center" shrinkToFit="1"/>
    </xf>
    <xf numFmtId="0" fontId="0" fillId="13" borderId="23" xfId="0" applyFill="1" applyBorder="1" applyAlignment="1">
      <alignment shrinkToFit="1"/>
    </xf>
    <xf numFmtId="0" fontId="27" fillId="13" borderId="23" xfId="0" applyFont="1" applyFill="1" applyBorder="1" applyAlignment="1">
      <alignment vertical="center" shrinkToFit="1"/>
    </xf>
    <xf numFmtId="0" fontId="0" fillId="13" borderId="23" xfId="0" applyFill="1" applyBorder="1" applyAlignment="1">
      <alignment vertical="center" shrinkToFit="1"/>
    </xf>
    <xf numFmtId="0" fontId="0" fillId="13" borderId="33" xfId="0" applyFill="1" applyBorder="1" applyAlignment="1">
      <alignment shrinkToFit="1"/>
    </xf>
    <xf numFmtId="0" fontId="0" fillId="13" borderId="34" xfId="0" applyFill="1" applyBorder="1" applyAlignment="1">
      <alignment shrinkToFit="1"/>
    </xf>
    <xf numFmtId="0" fontId="0" fillId="13" borderId="25" xfId="0" applyFill="1" applyBorder="1" applyAlignment="1">
      <alignment shrinkToFit="1"/>
    </xf>
    <xf numFmtId="0" fontId="0" fillId="21" borderId="0" xfId="0" applyFill="1" applyAlignment="1">
      <alignment shrinkToFit="1"/>
    </xf>
    <xf numFmtId="0" fontId="0" fillId="21" borderId="25" xfId="0" applyFill="1" applyBorder="1" applyAlignment="1">
      <alignment shrinkToFit="1"/>
    </xf>
    <xf numFmtId="0" fontId="0" fillId="21" borderId="23" xfId="0" applyFill="1" applyBorder="1" applyAlignment="1">
      <alignment shrinkToFit="1"/>
    </xf>
    <xf numFmtId="0" fontId="0" fillId="10" borderId="33" xfId="0" applyFill="1" applyBorder="1" applyAlignment="1">
      <alignment shrinkToFit="1"/>
    </xf>
    <xf numFmtId="0" fontId="0" fillId="10" borderId="0" xfId="0" applyFill="1" applyAlignment="1">
      <alignment shrinkToFit="1"/>
    </xf>
    <xf numFmtId="0" fontId="0" fillId="10" borderId="34" xfId="0" applyFill="1" applyBorder="1" applyAlignment="1">
      <alignment shrinkToFit="1"/>
    </xf>
    <xf numFmtId="0" fontId="5" fillId="8" borderId="0" xfId="1" applyFill="1" applyAlignment="1"/>
    <xf numFmtId="0" fontId="28" fillId="0" borderId="1" xfId="0" applyFont="1" applyBorder="1"/>
    <xf numFmtId="0" fontId="29" fillId="0" borderId="1" xfId="0" applyFont="1" applyBorder="1"/>
    <xf numFmtId="0" fontId="8" fillId="0" borderId="16" xfId="0" applyFont="1" applyBorder="1" applyAlignment="1">
      <alignment vertical="center" shrinkToFit="1"/>
    </xf>
    <xf numFmtId="0" fontId="8" fillId="0" borderId="0" xfId="0" applyFont="1" applyAlignment="1">
      <alignment vertical="center" shrinkToFit="1"/>
    </xf>
    <xf numFmtId="0" fontId="31" fillId="0" borderId="1" xfId="0" applyFont="1" applyBorder="1"/>
    <xf numFmtId="0" fontId="0" fillId="0" borderId="0" xfId="0" applyAlignment="1">
      <alignment vertical="center" wrapText="1"/>
    </xf>
    <xf numFmtId="56" fontId="29" fillId="0" borderId="1" xfId="0" applyNumberFormat="1" applyFont="1" applyBorder="1"/>
    <xf numFmtId="0" fontId="3" fillId="8" borderId="0" xfId="4" applyAlignment="1">
      <alignment horizontal="left"/>
    </xf>
    <xf numFmtId="0" fontId="3" fillId="7" borderId="37" xfId="3" applyBorder="1" applyAlignment="1">
      <alignment horizontal="center"/>
    </xf>
    <xf numFmtId="0" fontId="3" fillId="7" borderId="37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2" fillId="7" borderId="5" xfId="3" applyFont="1" applyBorder="1" applyAlignment="1">
      <alignment horizontal="left"/>
    </xf>
    <xf numFmtId="0" fontId="3" fillId="8" borderId="0" xfId="4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1" applyAlignment="1">
      <alignment horizontal="center"/>
    </xf>
    <xf numFmtId="0" fontId="0" fillId="0" borderId="22" xfId="0" applyBorder="1" applyAlignment="1">
      <alignment horizontal="left" vertical="top" shrinkToFit="1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26" fillId="0" borderId="14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0" fillId="0" borderId="36" xfId="0" applyBorder="1" applyAlignment="1">
      <alignment horizontal="left" vertical="top" shrinkToFit="1"/>
    </xf>
    <xf numFmtId="0" fontId="0" fillId="0" borderId="50" xfId="0" applyBorder="1" applyAlignment="1">
      <alignment horizontal="left" vertical="top" shrinkToFit="1"/>
    </xf>
    <xf numFmtId="0" fontId="2" fillId="8" borderId="0" xfId="4" applyFont="1" applyAlignment="1">
      <alignment horizontal="center"/>
    </xf>
    <xf numFmtId="0" fontId="0" fillId="0" borderId="32" xfId="0" applyBorder="1" applyAlignment="1">
      <alignment horizontal="left" vertical="top" shrinkToFit="1"/>
    </xf>
    <xf numFmtId="0" fontId="0" fillId="0" borderId="33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30" fillId="0" borderId="7" xfId="0" applyFont="1" applyBorder="1" applyAlignment="1">
      <alignment horizontal="center" vertical="center" shrinkToFit="1"/>
    </xf>
    <xf numFmtId="0" fontId="30" fillId="0" borderId="14" xfId="0" applyFont="1" applyBorder="1" applyAlignment="1">
      <alignment horizontal="center" vertical="center" shrinkToFit="1"/>
    </xf>
    <xf numFmtId="0" fontId="30" fillId="0" borderId="16" xfId="0" applyFont="1" applyBorder="1" applyAlignment="1">
      <alignment horizontal="center" vertical="center" shrinkToFit="1"/>
    </xf>
    <xf numFmtId="0" fontId="30" fillId="0" borderId="0" xfId="0" applyFont="1" applyAlignment="1">
      <alignment horizontal="center" vertical="center" shrinkToFit="1"/>
    </xf>
    <xf numFmtId="0" fontId="8" fillId="0" borderId="16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left" vertical="top" shrinkToFit="1"/>
    </xf>
    <xf numFmtId="0" fontId="27" fillId="0" borderId="14" xfId="0" applyFon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8" fillId="0" borderId="14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shrinkToFit="1"/>
    </xf>
    <xf numFmtId="0" fontId="0" fillId="0" borderId="33" xfId="0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9" fillId="0" borderId="33" xfId="0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0" fontId="26" fillId="0" borderId="33" xfId="0" applyFont="1" applyBorder="1" applyAlignment="1">
      <alignment horizontal="center" vertical="center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32" xfId="0" applyBorder="1" applyAlignment="1">
      <alignment horizontal="center" vertical="top" shrinkToFit="1"/>
    </xf>
    <xf numFmtId="0" fontId="0" fillId="0" borderId="33" xfId="0" applyBorder="1" applyAlignment="1">
      <alignment horizontal="center" vertical="top" shrinkToFit="1"/>
    </xf>
    <xf numFmtId="0" fontId="0" fillId="0" borderId="34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3" xfId="0" applyBorder="1" applyAlignment="1">
      <alignment horizontal="center"/>
    </xf>
    <xf numFmtId="0" fontId="1" fillId="8" borderId="0" xfId="4" applyFont="1" applyAlignment="1">
      <alignment horizontal="left"/>
    </xf>
    <xf numFmtId="0" fontId="1" fillId="7" borderId="5" xfId="3" applyFont="1" applyBorder="1" applyAlignment="1">
      <alignment horizontal="left"/>
    </xf>
    <xf numFmtId="0" fontId="0" fillId="0" borderId="0" xfId="0" applyBorder="1" applyAlignment="1">
      <alignment horizontal="center" vertical="center"/>
    </xf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4">
    <dxf>
      <fill>
        <patternFill>
          <bgColor theme="1" tint="0.499984740745262"/>
        </patternFill>
      </fill>
    </dxf>
    <dxf>
      <font>
        <strike val="0"/>
        <color auto="1"/>
      </font>
      <numFmt numFmtId="0" formatCode="General"/>
      <fill>
        <patternFill patternType="solid"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11</xdr:row>
      <xdr:rowOff>0</xdr:rowOff>
    </xdr:from>
    <xdr:to>
      <xdr:col>14</xdr:col>
      <xdr:colOff>0</xdr:colOff>
      <xdr:row>14</xdr:row>
      <xdr:rowOff>4762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486150" y="2471738"/>
          <a:ext cx="9525" cy="6810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6350</xdr:colOff>
      <xdr:row>5</xdr:row>
      <xdr:rowOff>9525</xdr:rowOff>
    </xdr:from>
    <xdr:to>
      <xdr:col>14</xdr:col>
      <xdr:colOff>14288</xdr:colOff>
      <xdr:row>8</xdr:row>
      <xdr:rowOff>14287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502025" y="1128713"/>
          <a:ext cx="7938" cy="681037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42863</xdr:colOff>
      <xdr:row>2</xdr:row>
      <xdr:rowOff>14288</xdr:rowOff>
    </xdr:from>
    <xdr:to>
      <xdr:col>18</xdr:col>
      <xdr:colOff>4763</xdr:colOff>
      <xdr:row>5</xdr:row>
      <xdr:rowOff>42862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24163" y="461963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14288</xdr:colOff>
      <xdr:row>17</xdr:row>
      <xdr:rowOff>14288</xdr:rowOff>
    </xdr:from>
    <xdr:to>
      <xdr:col>14</xdr:col>
      <xdr:colOff>19051</xdr:colOff>
      <xdr:row>19</xdr:row>
      <xdr:rowOff>47626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09963" y="3848101"/>
          <a:ext cx="4763" cy="4857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</xdr:colOff>
      <xdr:row>9</xdr:row>
      <xdr:rowOff>9525</xdr:rowOff>
    </xdr:from>
    <xdr:to>
      <xdr:col>21</xdr:col>
      <xdr:colOff>228600</xdr:colOff>
      <xdr:row>9</xdr:row>
      <xdr:rowOff>9526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DE4910A-2DED-40C0-9426-03A32444C750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V="1">
          <a:off x="4186237" y="2028825"/>
          <a:ext cx="1204913" cy="1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219075</xdr:colOff>
      <xdr:row>10</xdr:row>
      <xdr:rowOff>0</xdr:rowOff>
    </xdr:from>
    <xdr:to>
      <xdr:col>21</xdr:col>
      <xdr:colOff>233363</xdr:colOff>
      <xdr:row>10</xdr:row>
      <xdr:rowOff>4762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8492C38-F423-40FC-9BB9-D08026C792DF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H="1">
          <a:off x="4191000" y="2243138"/>
          <a:ext cx="1204913" cy="4762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</xdr:colOff>
      <xdr:row>22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2" y="4972051"/>
          <a:ext cx="4763" cy="495300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204788</xdr:colOff>
      <xdr:row>15</xdr:row>
      <xdr:rowOff>214313</xdr:rowOff>
    </xdr:from>
    <xdr:to>
      <xdr:col>11</xdr:col>
      <xdr:colOff>233363</xdr:colOff>
      <xdr:row>15</xdr:row>
      <xdr:rowOff>219075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71713" y="3595688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15</xdr:row>
      <xdr:rowOff>204788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576638"/>
          <a:ext cx="4763" cy="33242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33338</xdr:colOff>
      <xdr:row>37</xdr:row>
      <xdr:rowOff>9525</xdr:rowOff>
    </xdr:from>
    <xdr:to>
      <xdr:col>21</xdr:col>
      <xdr:colOff>28576</xdr:colOff>
      <xdr:row>37</xdr:row>
      <xdr:rowOff>14287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>
          <a:off x="1624013" y="8358188"/>
          <a:ext cx="3567113" cy="4762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36</xdr:row>
      <xdr:rowOff>14288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7000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9</xdr:row>
      <xdr:rowOff>223837</xdr:rowOff>
    </xdr:from>
    <xdr:to>
      <xdr:col>6</xdr:col>
      <xdr:colOff>19051</xdr:colOff>
      <xdr:row>37</xdr:row>
      <xdr:rowOff>33337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0200" y="2243137"/>
          <a:ext cx="9526" cy="613886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9</xdr:row>
      <xdr:rowOff>219075</xdr:rowOff>
    </xdr:from>
    <xdr:to>
      <xdr:col>11</xdr:col>
      <xdr:colOff>223838</xdr:colOff>
      <xdr:row>10</xdr:row>
      <xdr:rowOff>19050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9250" y="2238375"/>
          <a:ext cx="1385888" cy="23813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100339</xdr:colOff>
      <xdr:row>10</xdr:row>
      <xdr:rowOff>10830</xdr:rowOff>
    </xdr:from>
    <xdr:to>
      <xdr:col>53</xdr:col>
      <xdr:colOff>8351</xdr:colOff>
      <xdr:row>18</xdr:row>
      <xdr:rowOff>152923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18F98CE6-8DF7-66C0-DF19-641158057269}"/>
            </a:ext>
            <a:ext uri="{147F2762-F138-4A5C-976F-8EAC2B608ADB}">
              <a16:predDERef xmlns:a16="http://schemas.microsoft.com/office/drawing/2014/main" pre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7412" y="3540300"/>
          <a:ext cx="2256642" cy="1968805"/>
        </a:xfrm>
        <a:prstGeom prst="rect">
          <a:avLst/>
        </a:prstGeom>
      </xdr:spPr>
    </xdr:pic>
    <xdr:clientData/>
  </xdr:twoCellAnchor>
  <xdr:twoCellAnchor editAs="oneCell">
    <xdr:from>
      <xdr:col>10</xdr:col>
      <xdr:colOff>72491</xdr:colOff>
      <xdr:row>4</xdr:row>
      <xdr:rowOff>247912</xdr:rowOff>
    </xdr:from>
    <xdr:to>
      <xdr:col>41</xdr:col>
      <xdr:colOff>13914</xdr:colOff>
      <xdr:row>22</xdr:row>
      <xdr:rowOff>203137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92E33F4-0A40-0C9B-361F-B9423E05A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2936" y="1135172"/>
          <a:ext cx="7424420" cy="41762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34017</xdr:colOff>
      <xdr:row>11</xdr:row>
      <xdr:rowOff>30928</xdr:rowOff>
    </xdr:from>
    <xdr:to>
      <xdr:col>20</xdr:col>
      <xdr:colOff>6185</xdr:colOff>
      <xdr:row>19</xdr:row>
      <xdr:rowOff>215271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8B750EF-EB72-B2EB-6345-15EBC0C0CEFB}"/>
            </a:ext>
          </a:extLst>
        </xdr:cNvPr>
        <xdr:cNvSpPr/>
      </xdr:nvSpPr>
      <xdr:spPr>
        <a:xfrm>
          <a:off x="2204975" y="2548250"/>
          <a:ext cx="2625561" cy="1965642"/>
        </a:xfrm>
        <a:prstGeom prst="rect">
          <a:avLst/>
        </a:prstGeom>
        <a:noFill/>
        <a:ln w="762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37110</xdr:colOff>
      <xdr:row>18</xdr:row>
      <xdr:rowOff>122661</xdr:rowOff>
    </xdr:from>
    <xdr:to>
      <xdr:col>11</xdr:col>
      <xdr:colOff>12120</xdr:colOff>
      <xdr:row>25</xdr:row>
      <xdr:rowOff>27014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B48F5B5D-5EBF-4F49-B7DD-AFBE39E02849}"/>
            </a:ext>
          </a:extLst>
        </xdr:cNvPr>
        <xdr:cNvGrpSpPr/>
      </xdr:nvGrpSpPr>
      <xdr:grpSpPr>
        <a:xfrm>
          <a:off x="1482282" y="4222791"/>
          <a:ext cx="1179321" cy="1486378"/>
          <a:chOff x="1466849" y="199312"/>
          <a:chExt cx="1181100" cy="145803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5" name="角丸四角形 3">
            <a:extLst>
              <a:ext uri="{FF2B5EF4-FFF2-40B4-BE49-F238E27FC236}">
                <a16:creationId xmlns:a16="http://schemas.microsoft.com/office/drawing/2014/main" id="{4DD0C6B5-EC82-68A3-ACF3-3B40239825A7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屋内マップ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6" name="下矢印 4">
            <a:extLst>
              <a:ext uri="{FF2B5EF4-FFF2-40B4-BE49-F238E27FC236}">
                <a16:creationId xmlns:a16="http://schemas.microsoft.com/office/drawing/2014/main" id="{7BC4E69D-B131-0364-12E6-6FB59C87479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3053358">
            <a:off x="1963671" y="199312"/>
            <a:ext cx="119002" cy="1244477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20</xdr:col>
      <xdr:colOff>111330</xdr:colOff>
      <xdr:row>19</xdr:row>
      <xdr:rowOff>74221</xdr:rowOff>
    </xdr:from>
    <xdr:to>
      <xdr:col>25</xdr:col>
      <xdr:colOff>86341</xdr:colOff>
      <xdr:row>25</xdr:row>
      <xdr:rowOff>52795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C7BB9573-A7C4-4BA0-9B26-C2B3A1BD932E}"/>
            </a:ext>
          </a:extLst>
        </xdr:cNvPr>
        <xdr:cNvGrpSpPr/>
      </xdr:nvGrpSpPr>
      <xdr:grpSpPr>
        <a:xfrm>
          <a:off x="4928571" y="4398790"/>
          <a:ext cx="1179322" cy="1336160"/>
          <a:chOff x="1466849" y="346011"/>
          <a:chExt cx="1181100" cy="1311339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8" name="角丸四角形 3">
            <a:extLst>
              <a:ext uri="{FF2B5EF4-FFF2-40B4-BE49-F238E27FC236}">
                <a16:creationId xmlns:a16="http://schemas.microsoft.com/office/drawing/2014/main" id="{79116981-06A0-FF9B-2ED4-2B85034C07E0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屋外マップ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9" name="下矢印 4">
            <a:extLst>
              <a:ext uri="{FF2B5EF4-FFF2-40B4-BE49-F238E27FC236}">
                <a16:creationId xmlns:a16="http://schemas.microsoft.com/office/drawing/2014/main" id="{45A137B7-C2AB-56CD-D071-002068A4F37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3053358">
            <a:off x="1920375" y="346011"/>
            <a:ext cx="119002" cy="1244477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15</xdr:col>
      <xdr:colOff>222880</xdr:colOff>
      <xdr:row>7</xdr:row>
      <xdr:rowOff>190912</xdr:rowOff>
    </xdr:from>
    <xdr:to>
      <xdr:col>23</xdr:col>
      <xdr:colOff>5938</xdr:colOff>
      <xdr:row>10</xdr:row>
      <xdr:rowOff>86240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707FB957-F01F-4BEA-AC4B-026878B1646E}"/>
            </a:ext>
          </a:extLst>
        </xdr:cNvPr>
        <xdr:cNvGrpSpPr/>
      </xdr:nvGrpSpPr>
      <xdr:grpSpPr>
        <a:xfrm>
          <a:off x="3835811" y="1800309"/>
          <a:ext cx="1709955" cy="585069"/>
          <a:chOff x="935150" y="1262062"/>
          <a:chExt cx="1712799" cy="568925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23" name="角丸四角形 3">
            <a:extLst>
              <a:ext uri="{FF2B5EF4-FFF2-40B4-BE49-F238E27FC236}">
                <a16:creationId xmlns:a16="http://schemas.microsoft.com/office/drawing/2014/main" id="{5F9837EB-BF1F-A704-DBEB-56EB1F7492A9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選択中</a:t>
            </a:r>
            <a:r>
              <a:rPr lang="en-US" altLang="ja-JP">
                <a:solidFill>
                  <a:sysClr val="windowText" lastClr="000000"/>
                </a:solidFill>
              </a:rPr>
              <a:t>(</a:t>
            </a:r>
            <a:r>
              <a:rPr lang="ja-JP" altLang="en-US">
                <a:solidFill>
                  <a:sysClr val="windowText" lastClr="000000"/>
                </a:solidFill>
              </a:rPr>
              <a:t>枠</a:t>
            </a:r>
            <a:r>
              <a:rPr lang="en-US" altLang="ja-JP">
                <a:solidFill>
                  <a:sysClr val="windowText" lastClr="000000"/>
                </a:solidFill>
              </a:rPr>
              <a:t>)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4" name="下矢印 4">
            <a:extLst>
              <a:ext uri="{FF2B5EF4-FFF2-40B4-BE49-F238E27FC236}">
                <a16:creationId xmlns:a16="http://schemas.microsoft.com/office/drawing/2014/main" id="{F88E7F09-D5AD-2A5F-E391-144BA307BEBD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3587867">
            <a:off x="1216960" y="1413534"/>
            <a:ext cx="135643" cy="699264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39492</xdr:colOff>
      <xdr:row>12</xdr:row>
      <xdr:rowOff>25452</xdr:rowOff>
    </xdr:from>
    <xdr:to>
      <xdr:col>15</xdr:col>
      <xdr:colOff>32845</xdr:colOff>
      <xdr:row>18</xdr:row>
      <xdr:rowOff>218963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A31ED7A-B3EA-4973-B724-E472432DD552}"/>
            </a:ext>
          </a:extLst>
        </xdr:cNvPr>
        <xdr:cNvSpPr/>
      </xdr:nvSpPr>
      <xdr:spPr>
        <a:xfrm>
          <a:off x="1484664" y="2778944"/>
          <a:ext cx="2161112" cy="1540149"/>
        </a:xfrm>
        <a:prstGeom prst="rect">
          <a:avLst/>
        </a:prstGeom>
        <a:noFill/>
        <a:ln w="762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59006</xdr:colOff>
      <xdr:row>16</xdr:row>
      <xdr:rowOff>217159</xdr:rowOff>
    </xdr:from>
    <xdr:to>
      <xdr:col>7</xdr:col>
      <xdr:colOff>34017</xdr:colOff>
      <xdr:row>25</xdr:row>
      <xdr:rowOff>65332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5233D773-9CAF-413A-AEDF-B116E900A31A}"/>
            </a:ext>
          </a:extLst>
        </xdr:cNvPr>
        <xdr:cNvGrpSpPr/>
      </xdr:nvGrpSpPr>
      <xdr:grpSpPr>
        <a:xfrm>
          <a:off x="540730" y="3868410"/>
          <a:ext cx="1179321" cy="1873604"/>
          <a:chOff x="1466849" y="-187323"/>
          <a:chExt cx="1181100" cy="1844673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5" name="下矢印 4">
            <a:extLst>
              <a:ext uri="{FF2B5EF4-FFF2-40B4-BE49-F238E27FC236}">
                <a16:creationId xmlns:a16="http://schemas.microsoft.com/office/drawing/2014/main" id="{EC3F40AB-1557-D02B-49C0-DED90D6C35F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2395626">
            <a:off x="2055853" y="-187323"/>
            <a:ext cx="119765" cy="1652529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4" name="角丸四角形 3">
            <a:extLst>
              <a:ext uri="{FF2B5EF4-FFF2-40B4-BE49-F238E27FC236}">
                <a16:creationId xmlns:a16="http://schemas.microsoft.com/office/drawing/2014/main" id="{33AD8363-66F1-CD34-E2DB-4FACEAE84AAA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体育館マップ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13</xdr:col>
      <xdr:colOff>105856</xdr:colOff>
      <xdr:row>18</xdr:row>
      <xdr:rowOff>12648</xdr:rowOff>
    </xdr:from>
    <xdr:to>
      <xdr:col>18</xdr:col>
      <xdr:colOff>80868</xdr:colOff>
      <xdr:row>25</xdr:row>
      <xdr:rowOff>140381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A77B30DA-6704-4A5A-90D6-7E4AB7601077}"/>
            </a:ext>
          </a:extLst>
        </xdr:cNvPr>
        <xdr:cNvGrpSpPr/>
      </xdr:nvGrpSpPr>
      <xdr:grpSpPr>
        <a:xfrm>
          <a:off x="3237063" y="4112778"/>
          <a:ext cx="1179322" cy="1704285"/>
          <a:chOff x="1466849" y="-22155"/>
          <a:chExt cx="1181100" cy="1679505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8" name="下矢印 4">
            <a:extLst>
              <a:ext uri="{FF2B5EF4-FFF2-40B4-BE49-F238E27FC236}">
                <a16:creationId xmlns:a16="http://schemas.microsoft.com/office/drawing/2014/main" id="{BA640F8F-2878-1BFE-A7F3-F3F793DD58C3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1845495">
            <a:off x="1872851" y="-22155"/>
            <a:ext cx="142675" cy="1620955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7" name="角丸四角形 3">
            <a:extLst>
              <a:ext uri="{FF2B5EF4-FFF2-40B4-BE49-F238E27FC236}">
                <a16:creationId xmlns:a16="http://schemas.microsoft.com/office/drawing/2014/main" id="{49891C79-5EBF-8793-5B3E-DAAC6A318CDC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廊下マップ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13</xdr:col>
      <xdr:colOff>96974</xdr:colOff>
      <xdr:row>8</xdr:row>
      <xdr:rowOff>201860</xdr:rowOff>
    </xdr:from>
    <xdr:to>
      <xdr:col>20</xdr:col>
      <xdr:colOff>120895</xdr:colOff>
      <xdr:row>11</xdr:row>
      <xdr:rowOff>113610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806CFCB2-8F5A-4313-8AF0-B2CF80565FC3}"/>
            </a:ext>
          </a:extLst>
        </xdr:cNvPr>
        <xdr:cNvGrpSpPr/>
      </xdr:nvGrpSpPr>
      <xdr:grpSpPr>
        <a:xfrm>
          <a:off x="3228181" y="2052119"/>
          <a:ext cx="1709955" cy="585069"/>
          <a:chOff x="935150" y="1262062"/>
          <a:chExt cx="1712799" cy="568925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0" name="角丸四角形 3">
            <a:extLst>
              <a:ext uri="{FF2B5EF4-FFF2-40B4-BE49-F238E27FC236}">
                <a16:creationId xmlns:a16="http://schemas.microsoft.com/office/drawing/2014/main" id="{164531CD-6F65-95E6-D013-35D0D3D40051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選択中</a:t>
            </a:r>
            <a:r>
              <a:rPr lang="en-US" altLang="ja-JP">
                <a:solidFill>
                  <a:sysClr val="windowText" lastClr="000000"/>
                </a:solidFill>
              </a:rPr>
              <a:t>(</a:t>
            </a:r>
            <a:r>
              <a:rPr lang="ja-JP" altLang="en-US">
                <a:solidFill>
                  <a:sysClr val="windowText" lastClr="000000"/>
                </a:solidFill>
              </a:rPr>
              <a:t>枠</a:t>
            </a:r>
            <a:r>
              <a:rPr lang="en-US" altLang="ja-JP">
                <a:solidFill>
                  <a:sysClr val="windowText" lastClr="000000"/>
                </a:solidFill>
              </a:rPr>
              <a:t>)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下矢印 4">
            <a:extLst>
              <a:ext uri="{FF2B5EF4-FFF2-40B4-BE49-F238E27FC236}">
                <a16:creationId xmlns:a16="http://schemas.microsoft.com/office/drawing/2014/main" id="{206B241B-172A-B267-9302-82819ACD951C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3587867">
            <a:off x="1216960" y="1413534"/>
            <a:ext cx="135643" cy="699264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33</xdr:col>
      <xdr:colOff>207205</xdr:colOff>
      <xdr:row>17</xdr:row>
      <xdr:rowOff>153596</xdr:rowOff>
    </xdr:from>
    <xdr:to>
      <xdr:col>42</xdr:col>
      <xdr:colOff>226821</xdr:colOff>
      <xdr:row>19</xdr:row>
      <xdr:rowOff>105837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FA87138E-F1EE-440B-BA03-FE51EE8E63B6}"/>
            </a:ext>
          </a:extLst>
        </xdr:cNvPr>
        <xdr:cNvGrpSpPr/>
      </xdr:nvGrpSpPr>
      <xdr:grpSpPr>
        <a:xfrm>
          <a:off x="8155653" y="4029286"/>
          <a:ext cx="2187375" cy="401120"/>
          <a:chOff x="457276" y="1262062"/>
          <a:chExt cx="2190673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3" name="下矢印 4">
            <a:extLst>
              <a:ext uri="{FF2B5EF4-FFF2-40B4-BE49-F238E27FC236}">
                <a16:creationId xmlns:a16="http://schemas.microsoft.com/office/drawing/2014/main" id="{FECAF801-070D-85E4-A62A-5D03343A407B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5964294">
            <a:off x="983209" y="779274"/>
            <a:ext cx="111878" cy="1163743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4" name="角丸四角形 3">
            <a:extLst>
              <a:ext uri="{FF2B5EF4-FFF2-40B4-BE49-F238E27FC236}">
                <a16:creationId xmlns:a16="http://schemas.microsoft.com/office/drawing/2014/main" id="{A1EDEEFC-FCB0-A0A0-25D5-8C53AA30377B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教室マップ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5474</xdr:colOff>
      <xdr:row>5</xdr:row>
      <xdr:rowOff>211574</xdr:rowOff>
    </xdr:from>
    <xdr:to>
      <xdr:col>21</xdr:col>
      <xdr:colOff>4303</xdr:colOff>
      <xdr:row>11</xdr:row>
      <xdr:rowOff>218966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69EA3CD-8A82-42EA-9439-CBB3D4F24F6E}"/>
            </a:ext>
          </a:extLst>
        </xdr:cNvPr>
        <xdr:cNvSpPr/>
      </xdr:nvSpPr>
      <xdr:spPr>
        <a:xfrm>
          <a:off x="2895819" y="1339246"/>
          <a:ext cx="2166587" cy="1403298"/>
        </a:xfrm>
        <a:prstGeom prst="rect">
          <a:avLst/>
        </a:prstGeom>
        <a:noFill/>
        <a:ln w="762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53531</xdr:colOff>
      <xdr:row>19</xdr:row>
      <xdr:rowOff>58409</xdr:rowOff>
    </xdr:from>
    <xdr:to>
      <xdr:col>14</xdr:col>
      <xdr:colOff>28542</xdr:colOff>
      <xdr:row>27</xdr:row>
      <xdr:rowOff>131022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D18A39AD-D900-4592-8CF8-5106A8870E25}"/>
            </a:ext>
          </a:extLst>
        </xdr:cNvPr>
        <xdr:cNvGrpSpPr/>
      </xdr:nvGrpSpPr>
      <xdr:grpSpPr>
        <a:xfrm>
          <a:off x="2221290" y="4377504"/>
          <a:ext cx="1179321" cy="1873604"/>
          <a:chOff x="1466849" y="-187323"/>
          <a:chExt cx="1181100" cy="1844673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4" name="下矢印 4">
            <a:extLst>
              <a:ext uri="{FF2B5EF4-FFF2-40B4-BE49-F238E27FC236}">
                <a16:creationId xmlns:a16="http://schemas.microsoft.com/office/drawing/2014/main" id="{CEFAE955-EF1E-38B5-8A37-79DDF6ADE50B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2395626">
            <a:off x="2055853" y="-187323"/>
            <a:ext cx="119765" cy="1652529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5" name="角丸四角形 3">
            <a:extLst>
              <a:ext uri="{FF2B5EF4-FFF2-40B4-BE49-F238E27FC236}">
                <a16:creationId xmlns:a16="http://schemas.microsoft.com/office/drawing/2014/main" id="{061574B3-6C82-B834-A0C2-D14DE2406318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秋マップ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22</xdr:col>
      <xdr:colOff>209864</xdr:colOff>
      <xdr:row>19</xdr:row>
      <xdr:rowOff>127604</xdr:rowOff>
    </xdr:from>
    <xdr:to>
      <xdr:col>27</xdr:col>
      <xdr:colOff>184876</xdr:colOff>
      <xdr:row>27</xdr:row>
      <xdr:rowOff>30898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EC5F966B-8EF2-499C-8D86-07A4481E741D}"/>
            </a:ext>
          </a:extLst>
        </xdr:cNvPr>
        <xdr:cNvGrpSpPr/>
      </xdr:nvGrpSpPr>
      <xdr:grpSpPr>
        <a:xfrm>
          <a:off x="5508830" y="4446699"/>
          <a:ext cx="1179322" cy="1704285"/>
          <a:chOff x="1466849" y="-22155"/>
          <a:chExt cx="1181100" cy="1679505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7" name="下矢印 4">
            <a:extLst>
              <a:ext uri="{FF2B5EF4-FFF2-40B4-BE49-F238E27FC236}">
                <a16:creationId xmlns:a16="http://schemas.microsoft.com/office/drawing/2014/main" id="{486594D0-49FB-E752-7CBB-596F7FCEAB73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1845495">
            <a:off x="1872851" y="-22155"/>
            <a:ext cx="142675" cy="1620955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8" name="角丸四角形 3">
            <a:extLst>
              <a:ext uri="{FF2B5EF4-FFF2-40B4-BE49-F238E27FC236}">
                <a16:creationId xmlns:a16="http://schemas.microsoft.com/office/drawing/2014/main" id="{2E752716-1622-CB28-F0AB-BFE2B184D7E3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冬マップ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19</xdr:col>
      <xdr:colOff>173736</xdr:colOff>
      <xdr:row>1</xdr:row>
      <xdr:rowOff>174490</xdr:rowOff>
    </xdr:from>
    <xdr:to>
      <xdr:col>25</xdr:col>
      <xdr:colOff>66153</xdr:colOff>
      <xdr:row>6</xdr:row>
      <xdr:rowOff>31624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5E5DECB-59FD-492B-B19D-4EFD80BEBEA3}"/>
            </a:ext>
          </a:extLst>
        </xdr:cNvPr>
        <xdr:cNvGrpSpPr/>
      </xdr:nvGrpSpPr>
      <xdr:grpSpPr>
        <a:xfrm>
          <a:off x="4750115" y="398930"/>
          <a:ext cx="1337590" cy="1001228"/>
          <a:chOff x="1308135" y="1262062"/>
          <a:chExt cx="1339814" cy="973601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0" name="角丸四角形 3">
            <a:extLst>
              <a:ext uri="{FF2B5EF4-FFF2-40B4-BE49-F238E27FC236}">
                <a16:creationId xmlns:a16="http://schemas.microsoft.com/office/drawing/2014/main" id="{13811EBE-17B1-64AE-2BC6-14BA7F74EE19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選択中</a:t>
            </a:r>
            <a:r>
              <a:rPr lang="en-US" altLang="ja-JP">
                <a:solidFill>
                  <a:sysClr val="windowText" lastClr="000000"/>
                </a:solidFill>
              </a:rPr>
              <a:t>(</a:t>
            </a:r>
            <a:r>
              <a:rPr lang="ja-JP" altLang="en-US">
                <a:solidFill>
                  <a:sysClr val="windowText" lastClr="000000"/>
                </a:solidFill>
              </a:rPr>
              <a:t>枠</a:t>
            </a:r>
            <a:r>
              <a:rPr lang="en-US" altLang="ja-JP">
                <a:solidFill>
                  <a:sysClr val="windowText" lastClr="000000"/>
                </a:solidFill>
              </a:rPr>
              <a:t>)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下矢印 4">
            <a:extLst>
              <a:ext uri="{FF2B5EF4-FFF2-40B4-BE49-F238E27FC236}">
                <a16:creationId xmlns:a16="http://schemas.microsoft.com/office/drawing/2014/main" id="{6D978BF9-B461-06DF-84B3-05D135323D3A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821172">
            <a:off x="1308135" y="1556823"/>
            <a:ext cx="139724" cy="67884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31</xdr:col>
      <xdr:colOff>32032</xdr:colOff>
      <xdr:row>7</xdr:row>
      <xdr:rowOff>22217</xdr:rowOff>
    </xdr:from>
    <xdr:to>
      <xdr:col>40</xdr:col>
      <xdr:colOff>51648</xdr:colOff>
      <xdr:row>8</xdr:row>
      <xdr:rowOff>182475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A4541E1E-50A7-40EB-B9EA-1A754F9E4580}"/>
            </a:ext>
          </a:extLst>
        </xdr:cNvPr>
        <xdr:cNvGrpSpPr/>
      </xdr:nvGrpSpPr>
      <xdr:grpSpPr>
        <a:xfrm>
          <a:off x="7498756" y="1631614"/>
          <a:ext cx="2187375" cy="401120"/>
          <a:chOff x="457276" y="1262062"/>
          <a:chExt cx="2190673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3" name="下矢印 4">
            <a:extLst>
              <a:ext uri="{FF2B5EF4-FFF2-40B4-BE49-F238E27FC236}">
                <a16:creationId xmlns:a16="http://schemas.microsoft.com/office/drawing/2014/main" id="{EC44461F-EF5F-8366-40A6-DEFD0C6D46A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5964294">
            <a:off x="983209" y="779274"/>
            <a:ext cx="111878" cy="1163743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4" name="角丸四角形 3">
            <a:extLst>
              <a:ext uri="{FF2B5EF4-FFF2-40B4-BE49-F238E27FC236}">
                <a16:creationId xmlns:a16="http://schemas.microsoft.com/office/drawing/2014/main" id="{27AC6123-5CA9-2792-4FAA-985CBEFA52C3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夏マップ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12</xdr:col>
      <xdr:colOff>104820</xdr:colOff>
      <xdr:row>1</xdr:row>
      <xdr:rowOff>142327</xdr:rowOff>
    </xdr:from>
    <xdr:to>
      <xdr:col>17</xdr:col>
      <xdr:colOff>79832</xdr:colOff>
      <xdr:row>7</xdr:row>
      <xdr:rowOff>84859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BC941C37-BCA0-443C-8E1A-3D3FDDA549EE}"/>
            </a:ext>
          </a:extLst>
        </xdr:cNvPr>
        <xdr:cNvGrpSpPr/>
      </xdr:nvGrpSpPr>
      <xdr:grpSpPr>
        <a:xfrm>
          <a:off x="2995165" y="366767"/>
          <a:ext cx="1179322" cy="1327489"/>
          <a:chOff x="1466849" y="1262062"/>
          <a:chExt cx="1181100" cy="13081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6" name="下矢印 4">
            <a:extLst>
              <a:ext uri="{FF2B5EF4-FFF2-40B4-BE49-F238E27FC236}">
                <a16:creationId xmlns:a16="http://schemas.microsoft.com/office/drawing/2014/main" id="{6BC7562C-B43B-E800-9D7E-507AE17ADE27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9900694">
            <a:off x="1837552" y="1537184"/>
            <a:ext cx="113700" cy="1033066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7" name="角丸四角形 3">
            <a:extLst>
              <a:ext uri="{FF2B5EF4-FFF2-40B4-BE49-F238E27FC236}">
                <a16:creationId xmlns:a16="http://schemas.microsoft.com/office/drawing/2014/main" id="{0C9845DB-F85B-9BAD-6B64-B8FEA9404D00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春マップ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109538</xdr:colOff>
      <xdr:row>11</xdr:row>
      <xdr:rowOff>80962</xdr:rowOff>
    </xdr:from>
    <xdr:to>
      <xdr:col>15</xdr:col>
      <xdr:colOff>23813</xdr:colOff>
      <xdr:row>12</xdr:row>
      <xdr:rowOff>4762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38B8D20B-D60C-B046-F1D4-CD66BCAC7F9E}"/>
            </a:ext>
          </a:extLst>
        </xdr:cNvPr>
        <xdr:cNvGrpSpPr/>
      </xdr:nvGrpSpPr>
      <xdr:grpSpPr>
        <a:xfrm>
          <a:off x="2175434" y="2558750"/>
          <a:ext cx="1581149" cy="161924"/>
          <a:chOff x="2143125" y="2557463"/>
          <a:chExt cx="1581150" cy="161925"/>
        </a:xfrm>
      </xdr:grpSpPr>
      <xdr:sp macro="" textlink="">
        <xdr:nvSpPr>
          <xdr:cNvPr id="2" name="四角形 1">
            <a:extLst>
              <a:ext uri="{FF2B5EF4-FFF2-40B4-BE49-F238E27FC236}">
                <a16:creationId xmlns:a16="http://schemas.microsoft.com/office/drawing/2014/main" id="{CF7AC467-8D89-812B-E045-21D7DF400AF2}"/>
              </a:ext>
            </a:extLst>
          </xdr:cNvPr>
          <xdr:cNvSpPr/>
        </xdr:nvSpPr>
        <xdr:spPr>
          <a:xfrm>
            <a:off x="2143125" y="2557463"/>
            <a:ext cx="1581150" cy="1619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3" name="四角形 2">
            <a:extLst>
              <a:ext uri="{FF2B5EF4-FFF2-40B4-BE49-F238E27FC236}">
                <a16:creationId xmlns:a16="http://schemas.microsoft.com/office/drawing/2014/main" id="{3535CC95-D209-4919-A337-57A5F85E8B34}"/>
              </a:ext>
              <a:ext uri="{147F2762-F138-4A5C-976F-8EAC2B608ADB}">
                <a16:predDERef xmlns:a16="http://schemas.microsoft.com/office/drawing/2014/main" pred="{CF7AC467-8D89-812B-E045-21D7DF400AF2}"/>
              </a:ext>
            </a:extLst>
          </xdr:cNvPr>
          <xdr:cNvSpPr/>
        </xdr:nvSpPr>
        <xdr:spPr>
          <a:xfrm>
            <a:off x="2147887" y="2557463"/>
            <a:ext cx="1333500" cy="161925"/>
          </a:xfrm>
          <a:prstGeom prst="rect">
            <a:avLst/>
          </a:prstGeom>
          <a:solidFill>
            <a:schemeClr val="accent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/>
          </a:p>
        </xdr:txBody>
      </xdr:sp>
    </xdr:grpSp>
    <xdr:clientData/>
  </xdr:twoCellAnchor>
  <xdr:twoCellAnchor>
    <xdr:from>
      <xdr:col>9</xdr:col>
      <xdr:colOff>219075</xdr:colOff>
      <xdr:row>27</xdr:row>
      <xdr:rowOff>114300</xdr:rowOff>
    </xdr:from>
    <xdr:to>
      <xdr:col>9</xdr:col>
      <xdr:colOff>228600</xdr:colOff>
      <xdr:row>28</xdr:row>
      <xdr:rowOff>142875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C41462E9-068A-DB4A-2124-4A923AB40DD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524125" y="6186488"/>
          <a:ext cx="9525" cy="252412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95249</xdr:colOff>
      <xdr:row>8</xdr:row>
      <xdr:rowOff>61912</xdr:rowOff>
    </xdr:from>
    <xdr:to>
      <xdr:col>11</xdr:col>
      <xdr:colOff>85724</xdr:colOff>
      <xdr:row>11</xdr:row>
      <xdr:rowOff>133350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6119742B-ADE3-AD02-63E0-D1BED0CAC775}"/>
            </a:ext>
          </a:extLst>
        </xdr:cNvPr>
        <xdr:cNvGrpSpPr/>
      </xdr:nvGrpSpPr>
      <xdr:grpSpPr>
        <a:xfrm>
          <a:off x="1684895" y="1863939"/>
          <a:ext cx="1181099" cy="747199"/>
          <a:chOff x="1685924" y="1852612"/>
          <a:chExt cx="1181100" cy="742951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4" name="角丸四角形 3">
            <a:extLst>
              <a:ext uri="{FF2B5EF4-FFF2-40B4-BE49-F238E27FC236}">
                <a16:creationId xmlns:a16="http://schemas.microsoft.com/office/drawing/2014/main" id="{B5A30BF0-91B3-B4BF-739C-0C82B0180F93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体力ゲージ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下矢印 4">
            <a:extLst>
              <a:ext uri="{FF2B5EF4-FFF2-40B4-BE49-F238E27FC236}">
                <a16:creationId xmlns:a16="http://schemas.microsoft.com/office/drawing/2014/main" id="{38F77888-CCD6-D7C7-FCBD-490B7200587A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9088697">
            <a:off x="1876425" y="2062163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13</xdr:col>
      <xdr:colOff>138114</xdr:colOff>
      <xdr:row>28</xdr:row>
      <xdr:rowOff>9528</xdr:rowOff>
    </xdr:from>
    <xdr:to>
      <xdr:col>18</xdr:col>
      <xdr:colOff>161925</xdr:colOff>
      <xdr:row>31</xdr:row>
      <xdr:rowOff>61915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6B088771-CA5A-4721-8407-ED18A83BC1A6}"/>
            </a:ext>
          </a:extLst>
        </xdr:cNvPr>
        <xdr:cNvGrpSpPr/>
      </xdr:nvGrpSpPr>
      <xdr:grpSpPr>
        <a:xfrm>
          <a:off x="3394634" y="6342366"/>
          <a:ext cx="1214437" cy="728148"/>
          <a:chOff x="1652588" y="1524000"/>
          <a:chExt cx="1214436" cy="723900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9" name="角丸四角形 3">
            <a:extLst>
              <a:ext uri="{FF2B5EF4-FFF2-40B4-BE49-F238E27FC236}">
                <a16:creationId xmlns:a16="http://schemas.microsoft.com/office/drawing/2014/main" id="{EECEAD92-DBCC-9D28-A8A9-3B13F5DDB65D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威力決定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下矢印 4">
            <a:extLst>
              <a:ext uri="{FF2B5EF4-FFF2-40B4-BE49-F238E27FC236}">
                <a16:creationId xmlns:a16="http://schemas.microsoft.com/office/drawing/2014/main" id="{9265BD68-FF08-09B2-E81E-8DA430557C13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510832">
            <a:off x="1652588" y="1524000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30</xdr:col>
      <xdr:colOff>176212</xdr:colOff>
      <xdr:row>12</xdr:row>
      <xdr:rowOff>190500</xdr:rowOff>
    </xdr:from>
    <xdr:to>
      <xdr:col>38</xdr:col>
      <xdr:colOff>190499</xdr:colOff>
      <xdr:row>15</xdr:row>
      <xdr:rowOff>71437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698F1A71-0635-C752-4624-F7DEE3A1878F}"/>
            </a:ext>
          </a:extLst>
        </xdr:cNvPr>
        <xdr:cNvGrpSpPr/>
      </xdr:nvGrpSpPr>
      <xdr:grpSpPr>
        <a:xfrm>
          <a:off x="7480858" y="2906412"/>
          <a:ext cx="1919287" cy="569570"/>
          <a:chOff x="5548312" y="3328988"/>
          <a:chExt cx="1919287" cy="566737"/>
        </a:xfrm>
      </xdr:grpSpPr>
      <xdr:sp macro="" textlink="">
        <xdr:nvSpPr>
          <xdr:cNvPr id="12" name="楕円 11">
            <a:extLst>
              <a:ext uri="{FF2B5EF4-FFF2-40B4-BE49-F238E27FC236}">
                <a16:creationId xmlns:a16="http://schemas.microsoft.com/office/drawing/2014/main" id="{65FC0635-0BF7-8F5C-FB76-3ACC7101549B}"/>
              </a:ext>
            </a:extLst>
          </xdr:cNvPr>
          <xdr:cNvSpPr/>
        </xdr:nvSpPr>
        <xdr:spPr>
          <a:xfrm>
            <a:off x="5548312" y="3509963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楕円 12">
            <a:extLst>
              <a:ext uri="{FF2B5EF4-FFF2-40B4-BE49-F238E27FC236}">
                <a16:creationId xmlns:a16="http://schemas.microsoft.com/office/drawing/2014/main" id="{12D3900D-08E8-4C47-AE10-BC20C4D397B8}"/>
              </a:ext>
            </a:extLst>
          </xdr:cNvPr>
          <xdr:cNvSpPr/>
        </xdr:nvSpPr>
        <xdr:spPr>
          <a:xfrm>
            <a:off x="6276974" y="3467100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楕円 13">
            <a:extLst>
              <a:ext uri="{FF2B5EF4-FFF2-40B4-BE49-F238E27FC236}">
                <a16:creationId xmlns:a16="http://schemas.microsoft.com/office/drawing/2014/main" id="{883495D4-4E38-4448-8C8F-B858CA955FB2}"/>
              </a:ext>
            </a:extLst>
          </xdr:cNvPr>
          <xdr:cNvSpPr/>
        </xdr:nvSpPr>
        <xdr:spPr>
          <a:xfrm>
            <a:off x="5834062" y="3328988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</xdr:col>
      <xdr:colOff>190500</xdr:colOff>
      <xdr:row>14</xdr:row>
      <xdr:rowOff>47625</xdr:rowOff>
    </xdr:from>
    <xdr:to>
      <xdr:col>20</xdr:col>
      <xdr:colOff>14287</xdr:colOff>
      <xdr:row>16</xdr:row>
      <xdr:rowOff>166688</xdr:rowOff>
    </xdr:to>
    <xdr:grpSp>
      <xdr:nvGrpSpPr>
        <xdr:cNvPr id="21" name="グループ化 20">
          <a:extLst>
            <a:ext uri="{FF2B5EF4-FFF2-40B4-BE49-F238E27FC236}">
              <a16:creationId xmlns:a16="http://schemas.microsoft.com/office/drawing/2014/main" id="{6AB38B17-6BA4-A158-7A64-20196646882B}"/>
            </a:ext>
          </a:extLst>
        </xdr:cNvPr>
        <xdr:cNvGrpSpPr/>
      </xdr:nvGrpSpPr>
      <xdr:grpSpPr>
        <a:xfrm>
          <a:off x="2732646" y="3226916"/>
          <a:ext cx="2205037" cy="569569"/>
          <a:chOff x="2733675" y="3209925"/>
          <a:chExt cx="2205037" cy="566738"/>
        </a:xfrm>
      </xdr:grpSpPr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07C7D7F3-4949-4EF3-8976-FA5F5E0814F0}"/>
              </a:ext>
            </a:extLst>
          </xdr:cNvPr>
          <xdr:cNvGrpSpPr/>
        </xdr:nvGrpSpPr>
        <xdr:grpSpPr>
          <a:xfrm>
            <a:off x="3019425" y="3209925"/>
            <a:ext cx="1919287" cy="566737"/>
            <a:chOff x="5548312" y="3328988"/>
            <a:chExt cx="1919287" cy="566737"/>
          </a:xfrm>
        </xdr:grpSpPr>
        <xdr:sp macro="" textlink="">
          <xdr:nvSpPr>
            <xdr:cNvPr id="17" name="楕円 16">
              <a:extLst>
                <a:ext uri="{FF2B5EF4-FFF2-40B4-BE49-F238E27FC236}">
                  <a16:creationId xmlns:a16="http://schemas.microsoft.com/office/drawing/2014/main" id="{1F510333-50E5-F024-60BA-48A0CD2EEBAF}"/>
                </a:ext>
              </a:extLst>
            </xdr:cNvPr>
            <xdr:cNvSpPr/>
          </xdr:nvSpPr>
          <xdr:spPr>
            <a:xfrm>
              <a:off x="5548312" y="3509963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8" name="楕円 17">
              <a:extLst>
                <a:ext uri="{FF2B5EF4-FFF2-40B4-BE49-F238E27FC236}">
                  <a16:creationId xmlns:a16="http://schemas.microsoft.com/office/drawing/2014/main" id="{146BF3A7-0603-8413-CAC0-6EFBBA7AC540}"/>
                </a:ext>
              </a:extLst>
            </xdr:cNvPr>
            <xdr:cNvSpPr/>
          </xdr:nvSpPr>
          <xdr:spPr>
            <a:xfrm>
              <a:off x="6276974" y="3467100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9" name="楕円 18">
              <a:extLst>
                <a:ext uri="{FF2B5EF4-FFF2-40B4-BE49-F238E27FC236}">
                  <a16:creationId xmlns:a16="http://schemas.microsoft.com/office/drawing/2014/main" id="{0943A6C4-22C3-3437-4161-467375216CF4}"/>
                </a:ext>
              </a:extLst>
            </xdr:cNvPr>
            <xdr:cNvSpPr/>
          </xdr:nvSpPr>
          <xdr:spPr>
            <a:xfrm>
              <a:off x="5834062" y="3328988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20" name="楕円 19">
            <a:extLst>
              <a:ext uri="{FF2B5EF4-FFF2-40B4-BE49-F238E27FC236}">
                <a16:creationId xmlns:a16="http://schemas.microsoft.com/office/drawing/2014/main" id="{4410BD3F-EA18-F57F-DB61-B5988B02BAA7}"/>
              </a:ext>
            </a:extLst>
          </xdr:cNvPr>
          <xdr:cNvSpPr/>
        </xdr:nvSpPr>
        <xdr:spPr>
          <a:xfrm>
            <a:off x="2733675" y="3557588"/>
            <a:ext cx="914400" cy="219075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8</xdr:col>
      <xdr:colOff>211175</xdr:colOff>
      <xdr:row>21</xdr:row>
      <xdr:rowOff>38099</xdr:rowOff>
    </xdr:from>
    <xdr:to>
      <xdr:col>11</xdr:col>
      <xdr:colOff>182058</xdr:colOff>
      <xdr:row>25</xdr:row>
      <xdr:rowOff>9525</xdr:rowOff>
    </xdr:to>
    <xdr:grpSp>
      <xdr:nvGrpSpPr>
        <xdr:cNvPr id="66" name="グループ化 65">
          <a:extLst>
            <a:ext uri="{FF2B5EF4-FFF2-40B4-BE49-F238E27FC236}">
              <a16:creationId xmlns:a16="http://schemas.microsoft.com/office/drawing/2014/main" id="{184213FD-E3C4-8362-92DD-C20A56BCC545}"/>
            </a:ext>
          </a:extLst>
        </xdr:cNvPr>
        <xdr:cNvGrpSpPr/>
      </xdr:nvGrpSpPr>
      <xdr:grpSpPr>
        <a:xfrm>
          <a:off x="2277071" y="4794164"/>
          <a:ext cx="685257" cy="872439"/>
          <a:chOff x="454062" y="3948112"/>
          <a:chExt cx="685258" cy="866776"/>
        </a:xfrm>
      </xdr:grpSpPr>
      <xdr:sp macro="" textlink="">
        <xdr:nvSpPr>
          <xdr:cNvPr id="30" name="楕円 29">
            <a:extLst>
              <a:ext uri="{FF2B5EF4-FFF2-40B4-BE49-F238E27FC236}">
                <a16:creationId xmlns:a16="http://schemas.microsoft.com/office/drawing/2014/main" id="{5FA4292D-1972-4CD9-9EC4-4F8BAB503B9D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5" name="グループ化 64">
            <a:extLst>
              <a:ext uri="{FF2B5EF4-FFF2-40B4-BE49-F238E27FC236}">
                <a16:creationId xmlns:a16="http://schemas.microsoft.com/office/drawing/2014/main" id="{58CF3CE9-FEA5-1D07-80D3-EE370D0C98B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31" name="楕円 30">
              <a:extLst>
                <a:ext uri="{FF2B5EF4-FFF2-40B4-BE49-F238E27FC236}">
                  <a16:creationId xmlns:a16="http://schemas.microsoft.com/office/drawing/2014/main" id="{0837DCF1-B398-49FF-A082-A35447B4495B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48" name="楕円 47">
              <a:extLst>
                <a:ext uri="{FF2B5EF4-FFF2-40B4-BE49-F238E27FC236}">
                  <a16:creationId xmlns:a16="http://schemas.microsoft.com/office/drawing/2014/main" id="{670CF80B-3EF3-FF91-C865-9B01A05A2E78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64" name="グループ化 63">
              <a:extLst>
                <a:ext uri="{FF2B5EF4-FFF2-40B4-BE49-F238E27FC236}">
                  <a16:creationId xmlns:a16="http://schemas.microsoft.com/office/drawing/2014/main" id="{AEB98850-E32C-47D6-9447-BF5DD32E7699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22" name="正方形/長方形 21">
                <a:extLst>
                  <a:ext uri="{FF2B5EF4-FFF2-40B4-BE49-F238E27FC236}">
                    <a16:creationId xmlns:a16="http://schemas.microsoft.com/office/drawing/2014/main" id="{FEC8C3D1-56DC-799C-E69F-FD27E0198EDF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5" name="楕円 54">
                <a:extLst>
                  <a:ext uri="{FF2B5EF4-FFF2-40B4-BE49-F238E27FC236}">
                    <a16:creationId xmlns:a16="http://schemas.microsoft.com/office/drawing/2014/main" id="{E60E0868-02BA-2FF4-6D51-4CC4C26CF34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6" name="楕円 55">
                <a:extLst>
                  <a:ext uri="{FF2B5EF4-FFF2-40B4-BE49-F238E27FC236}">
                    <a16:creationId xmlns:a16="http://schemas.microsoft.com/office/drawing/2014/main" id="{5AF32FDF-8F06-D285-2CCB-9C4A66B73F55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7" name="楕円 56">
                <a:extLst>
                  <a:ext uri="{FF2B5EF4-FFF2-40B4-BE49-F238E27FC236}">
                    <a16:creationId xmlns:a16="http://schemas.microsoft.com/office/drawing/2014/main" id="{304F2177-E034-7086-527D-AAE609B5952B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8" name="楕円 57">
                <a:extLst>
                  <a:ext uri="{FF2B5EF4-FFF2-40B4-BE49-F238E27FC236}">
                    <a16:creationId xmlns:a16="http://schemas.microsoft.com/office/drawing/2014/main" id="{4FDD37B3-5A43-0A60-1642-B1D4E9478C78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9" name="楕円 58">
                <a:extLst>
                  <a:ext uri="{FF2B5EF4-FFF2-40B4-BE49-F238E27FC236}">
                    <a16:creationId xmlns:a16="http://schemas.microsoft.com/office/drawing/2014/main" id="{6EC496CF-BCFC-1983-DED0-4F44C6C38A1F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0" name="楕円 59">
                <a:extLst>
                  <a:ext uri="{FF2B5EF4-FFF2-40B4-BE49-F238E27FC236}">
                    <a16:creationId xmlns:a16="http://schemas.microsoft.com/office/drawing/2014/main" id="{24BD07E7-7AA2-1CE2-4BEF-D1507D0D081C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1" name="楕円 60">
                <a:extLst>
                  <a:ext uri="{FF2B5EF4-FFF2-40B4-BE49-F238E27FC236}">
                    <a16:creationId xmlns:a16="http://schemas.microsoft.com/office/drawing/2014/main" id="{62E5997A-93C9-9C26-A961-99EC1250699C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2" name="楕円 61">
                <a:extLst>
                  <a:ext uri="{FF2B5EF4-FFF2-40B4-BE49-F238E27FC236}">
                    <a16:creationId xmlns:a16="http://schemas.microsoft.com/office/drawing/2014/main" id="{4B7B95F9-A735-DCD8-A847-480CB3DFAE49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3" name="楕円 62">
                <a:extLst>
                  <a:ext uri="{FF2B5EF4-FFF2-40B4-BE49-F238E27FC236}">
                    <a16:creationId xmlns:a16="http://schemas.microsoft.com/office/drawing/2014/main" id="{83D6B2ED-6F8C-2CCC-DA70-17517CBCA61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52" name="楕円 51">
              <a:extLst>
                <a:ext uri="{FF2B5EF4-FFF2-40B4-BE49-F238E27FC236}">
                  <a16:creationId xmlns:a16="http://schemas.microsoft.com/office/drawing/2014/main" id="{F227D87F-796E-9CB3-94E2-01FEAA10A1FA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19</xdr:col>
      <xdr:colOff>28575</xdr:colOff>
      <xdr:row>21</xdr:row>
      <xdr:rowOff>157162</xdr:rowOff>
    </xdr:from>
    <xdr:to>
      <xdr:col>21</xdr:col>
      <xdr:colOff>237583</xdr:colOff>
      <xdr:row>25</xdr:row>
      <xdr:rowOff>9526</xdr:rowOff>
    </xdr:to>
    <xdr:grpSp>
      <xdr:nvGrpSpPr>
        <xdr:cNvPr id="67" name="グループ化 66">
          <a:extLst>
            <a:ext uri="{FF2B5EF4-FFF2-40B4-BE49-F238E27FC236}">
              <a16:creationId xmlns:a16="http://schemas.microsoft.com/office/drawing/2014/main" id="{F6A1B905-A2D5-44EB-B12E-D13DA9625066}"/>
            </a:ext>
          </a:extLst>
        </xdr:cNvPr>
        <xdr:cNvGrpSpPr/>
      </xdr:nvGrpSpPr>
      <xdr:grpSpPr>
        <a:xfrm>
          <a:off x="4713845" y="4913227"/>
          <a:ext cx="685258" cy="753377"/>
          <a:chOff x="454062" y="3948112"/>
          <a:chExt cx="685258" cy="866776"/>
        </a:xfrm>
      </xdr:grpSpPr>
      <xdr:sp macro="" textlink="">
        <xdr:nvSpPr>
          <xdr:cNvPr id="68" name="楕円 67">
            <a:extLst>
              <a:ext uri="{FF2B5EF4-FFF2-40B4-BE49-F238E27FC236}">
                <a16:creationId xmlns:a16="http://schemas.microsoft.com/office/drawing/2014/main" id="{20051B2C-A241-9DE9-6136-263881FAD083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9" name="グループ化 68">
            <a:extLst>
              <a:ext uri="{FF2B5EF4-FFF2-40B4-BE49-F238E27FC236}">
                <a16:creationId xmlns:a16="http://schemas.microsoft.com/office/drawing/2014/main" id="{67017A42-9167-BE1C-4E6A-4BE2A2FA991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70" name="楕円 69">
              <a:extLst>
                <a:ext uri="{FF2B5EF4-FFF2-40B4-BE49-F238E27FC236}">
                  <a16:creationId xmlns:a16="http://schemas.microsoft.com/office/drawing/2014/main" id="{72729B1B-242B-BD14-434E-6511C1026389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1" name="楕円 70">
              <a:extLst>
                <a:ext uri="{FF2B5EF4-FFF2-40B4-BE49-F238E27FC236}">
                  <a16:creationId xmlns:a16="http://schemas.microsoft.com/office/drawing/2014/main" id="{2CE93253-D96C-4518-64C6-15E332B55D21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72" name="グループ化 71">
              <a:extLst>
                <a:ext uri="{FF2B5EF4-FFF2-40B4-BE49-F238E27FC236}">
                  <a16:creationId xmlns:a16="http://schemas.microsoft.com/office/drawing/2014/main" id="{F4E56990-73BB-6A90-B257-6F16A53D6A01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74" name="正方形/長方形 73">
                <a:extLst>
                  <a:ext uri="{FF2B5EF4-FFF2-40B4-BE49-F238E27FC236}">
                    <a16:creationId xmlns:a16="http://schemas.microsoft.com/office/drawing/2014/main" id="{485E9113-07D5-F393-BB57-9FC385B2B41B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5" name="楕円 74">
                <a:extLst>
                  <a:ext uri="{FF2B5EF4-FFF2-40B4-BE49-F238E27FC236}">
                    <a16:creationId xmlns:a16="http://schemas.microsoft.com/office/drawing/2014/main" id="{EBBDFD3D-026F-8128-3771-72EB8E6454A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6" name="楕円 75">
                <a:extLst>
                  <a:ext uri="{FF2B5EF4-FFF2-40B4-BE49-F238E27FC236}">
                    <a16:creationId xmlns:a16="http://schemas.microsoft.com/office/drawing/2014/main" id="{3271F80D-4F8D-D8B7-D1F0-04786F0819A0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7" name="楕円 76">
                <a:extLst>
                  <a:ext uri="{FF2B5EF4-FFF2-40B4-BE49-F238E27FC236}">
                    <a16:creationId xmlns:a16="http://schemas.microsoft.com/office/drawing/2014/main" id="{2A76A7D7-0ECF-4A2F-9B33-D6400E7EE3E8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8" name="楕円 77">
                <a:extLst>
                  <a:ext uri="{FF2B5EF4-FFF2-40B4-BE49-F238E27FC236}">
                    <a16:creationId xmlns:a16="http://schemas.microsoft.com/office/drawing/2014/main" id="{B1439001-F657-2801-8D97-9BE18E9C05BB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9" name="楕円 78">
                <a:extLst>
                  <a:ext uri="{FF2B5EF4-FFF2-40B4-BE49-F238E27FC236}">
                    <a16:creationId xmlns:a16="http://schemas.microsoft.com/office/drawing/2014/main" id="{59A4A6EC-4968-793D-2E74-B345E6E3D3A6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0" name="楕円 79">
                <a:extLst>
                  <a:ext uri="{FF2B5EF4-FFF2-40B4-BE49-F238E27FC236}">
                    <a16:creationId xmlns:a16="http://schemas.microsoft.com/office/drawing/2014/main" id="{49A441A7-10BE-413F-C097-1CED29ABFEE5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1" name="楕円 80">
                <a:extLst>
                  <a:ext uri="{FF2B5EF4-FFF2-40B4-BE49-F238E27FC236}">
                    <a16:creationId xmlns:a16="http://schemas.microsoft.com/office/drawing/2014/main" id="{58C2B352-74FD-81BB-FF69-F555181773F7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2" name="楕円 81">
                <a:extLst>
                  <a:ext uri="{FF2B5EF4-FFF2-40B4-BE49-F238E27FC236}">
                    <a16:creationId xmlns:a16="http://schemas.microsoft.com/office/drawing/2014/main" id="{D826F7FE-B75A-BDF6-C482-0D2DD574404A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3" name="楕円 82">
                <a:extLst>
                  <a:ext uri="{FF2B5EF4-FFF2-40B4-BE49-F238E27FC236}">
                    <a16:creationId xmlns:a16="http://schemas.microsoft.com/office/drawing/2014/main" id="{371A178C-5753-DD16-EF6F-BE175C893A63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73" name="楕円 72">
              <a:extLst>
                <a:ext uri="{FF2B5EF4-FFF2-40B4-BE49-F238E27FC236}">
                  <a16:creationId xmlns:a16="http://schemas.microsoft.com/office/drawing/2014/main" id="{0425591F-CD6C-03DF-AD9A-0C66A21A7DC1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26</xdr:col>
      <xdr:colOff>114300</xdr:colOff>
      <xdr:row>20</xdr:row>
      <xdr:rowOff>209551</xdr:rowOff>
    </xdr:from>
    <xdr:to>
      <xdr:col>28</xdr:col>
      <xdr:colOff>4763</xdr:colOff>
      <xdr:row>25</xdr:row>
      <xdr:rowOff>1</xdr:rowOff>
    </xdr:to>
    <xdr:grpSp>
      <xdr:nvGrpSpPr>
        <xdr:cNvPr id="84" name="グループ化 83">
          <a:extLst>
            <a:ext uri="{FF2B5EF4-FFF2-40B4-BE49-F238E27FC236}">
              <a16:creationId xmlns:a16="http://schemas.microsoft.com/office/drawing/2014/main" id="{D5753E87-7C3A-409B-89B3-825648A47498}"/>
            </a:ext>
          </a:extLst>
        </xdr:cNvPr>
        <xdr:cNvGrpSpPr/>
      </xdr:nvGrpSpPr>
      <xdr:grpSpPr>
        <a:xfrm>
          <a:off x="6466446" y="4740362"/>
          <a:ext cx="366713" cy="916717"/>
          <a:chOff x="454062" y="3948112"/>
          <a:chExt cx="685258" cy="866776"/>
        </a:xfrm>
      </xdr:grpSpPr>
      <xdr:sp macro="" textlink="">
        <xdr:nvSpPr>
          <xdr:cNvPr id="85" name="楕円 84">
            <a:extLst>
              <a:ext uri="{FF2B5EF4-FFF2-40B4-BE49-F238E27FC236}">
                <a16:creationId xmlns:a16="http://schemas.microsoft.com/office/drawing/2014/main" id="{CF01DBA6-C19D-2E7D-F3CB-83DFB1753312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86" name="グループ化 85">
            <a:extLst>
              <a:ext uri="{FF2B5EF4-FFF2-40B4-BE49-F238E27FC236}">
                <a16:creationId xmlns:a16="http://schemas.microsoft.com/office/drawing/2014/main" id="{5B59F665-FEA8-5B95-1C38-5284E1D38AE5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87" name="楕円 86">
              <a:extLst>
                <a:ext uri="{FF2B5EF4-FFF2-40B4-BE49-F238E27FC236}">
                  <a16:creationId xmlns:a16="http://schemas.microsoft.com/office/drawing/2014/main" id="{4823A6D9-B287-B9F7-EC56-2F28F97E1AA5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8" name="楕円 87">
              <a:extLst>
                <a:ext uri="{FF2B5EF4-FFF2-40B4-BE49-F238E27FC236}">
                  <a16:creationId xmlns:a16="http://schemas.microsoft.com/office/drawing/2014/main" id="{D0EC69E6-E2C9-D829-88CA-4E3CC9887CE0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89" name="グループ化 88">
              <a:extLst>
                <a:ext uri="{FF2B5EF4-FFF2-40B4-BE49-F238E27FC236}">
                  <a16:creationId xmlns:a16="http://schemas.microsoft.com/office/drawing/2014/main" id="{A5511DEA-BB5F-8357-8215-FAE7F839DC03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91" name="正方形/長方形 90">
                <a:extLst>
                  <a:ext uri="{FF2B5EF4-FFF2-40B4-BE49-F238E27FC236}">
                    <a16:creationId xmlns:a16="http://schemas.microsoft.com/office/drawing/2014/main" id="{78B5C198-2297-2F75-EFFF-A964E75FA86E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2" name="楕円 91">
                <a:extLst>
                  <a:ext uri="{FF2B5EF4-FFF2-40B4-BE49-F238E27FC236}">
                    <a16:creationId xmlns:a16="http://schemas.microsoft.com/office/drawing/2014/main" id="{CA3E8FC6-B707-F119-7851-C5CB6018641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3" name="楕円 92">
                <a:extLst>
                  <a:ext uri="{FF2B5EF4-FFF2-40B4-BE49-F238E27FC236}">
                    <a16:creationId xmlns:a16="http://schemas.microsoft.com/office/drawing/2014/main" id="{96E95A0C-0254-62B6-8C7F-E6C1C598755E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4" name="楕円 93">
                <a:extLst>
                  <a:ext uri="{FF2B5EF4-FFF2-40B4-BE49-F238E27FC236}">
                    <a16:creationId xmlns:a16="http://schemas.microsoft.com/office/drawing/2014/main" id="{2F7F79A9-C33D-3A0B-ED37-23F0E196D197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5" name="楕円 94">
                <a:extLst>
                  <a:ext uri="{FF2B5EF4-FFF2-40B4-BE49-F238E27FC236}">
                    <a16:creationId xmlns:a16="http://schemas.microsoft.com/office/drawing/2014/main" id="{867875F9-76D0-5967-0B6A-98B546985CAE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6" name="楕円 95">
                <a:extLst>
                  <a:ext uri="{FF2B5EF4-FFF2-40B4-BE49-F238E27FC236}">
                    <a16:creationId xmlns:a16="http://schemas.microsoft.com/office/drawing/2014/main" id="{BB6AD1EA-EE29-407D-5332-660889A1FF74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7" name="楕円 96">
                <a:extLst>
                  <a:ext uri="{FF2B5EF4-FFF2-40B4-BE49-F238E27FC236}">
                    <a16:creationId xmlns:a16="http://schemas.microsoft.com/office/drawing/2014/main" id="{EBAF2500-E9D5-1E12-817C-FC06AB19FA27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8" name="楕円 97">
                <a:extLst>
                  <a:ext uri="{FF2B5EF4-FFF2-40B4-BE49-F238E27FC236}">
                    <a16:creationId xmlns:a16="http://schemas.microsoft.com/office/drawing/2014/main" id="{E4D39B57-085A-850B-E9FA-29F603B6A36F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9" name="楕円 98">
                <a:extLst>
                  <a:ext uri="{FF2B5EF4-FFF2-40B4-BE49-F238E27FC236}">
                    <a16:creationId xmlns:a16="http://schemas.microsoft.com/office/drawing/2014/main" id="{994EC45C-975E-2DC4-D4E6-5879EF20169F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100" name="楕円 99">
                <a:extLst>
                  <a:ext uri="{FF2B5EF4-FFF2-40B4-BE49-F238E27FC236}">
                    <a16:creationId xmlns:a16="http://schemas.microsoft.com/office/drawing/2014/main" id="{6539D54D-4C42-209A-00C9-080D756B73A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90" name="楕円 89">
              <a:extLst>
                <a:ext uri="{FF2B5EF4-FFF2-40B4-BE49-F238E27FC236}">
                  <a16:creationId xmlns:a16="http://schemas.microsoft.com/office/drawing/2014/main" id="{26823F8F-242A-9FEF-B6E8-886E1182756E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8</xdr:col>
      <xdr:colOff>228600</xdr:colOff>
      <xdr:row>25</xdr:row>
      <xdr:rowOff>166688</xdr:rowOff>
    </xdr:from>
    <xdr:to>
      <xdr:col>15</xdr:col>
      <xdr:colOff>238124</xdr:colOff>
      <xdr:row>26</xdr:row>
      <xdr:rowOff>200025</xdr:rowOff>
    </xdr:to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BC9C0601-3A5D-3CF3-C35B-130C0BEE0282}"/>
            </a:ext>
          </a:extLst>
        </xdr:cNvPr>
        <xdr:cNvSpPr txBox="1"/>
      </xdr:nvSpPr>
      <xdr:spPr>
        <a:xfrm>
          <a:off x="2295525" y="5791201"/>
          <a:ext cx="1676399" cy="25717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050" b="1"/>
            <a:t>弱　⇔　強　⇔　弱</a:t>
          </a:r>
        </a:p>
      </xdr:txBody>
    </xdr:sp>
    <xdr:clientData/>
  </xdr:twoCellAnchor>
  <xdr:twoCellAnchor>
    <xdr:from>
      <xdr:col>19</xdr:col>
      <xdr:colOff>167177</xdr:colOff>
      <xdr:row>24</xdr:row>
      <xdr:rowOff>70460</xdr:rowOff>
    </xdr:from>
    <xdr:to>
      <xdr:col>24</xdr:col>
      <xdr:colOff>24301</xdr:colOff>
      <xdr:row>29</xdr:row>
      <xdr:rowOff>101111</xdr:rowOff>
    </xdr:to>
    <xdr:grpSp>
      <xdr:nvGrpSpPr>
        <xdr:cNvPr id="108" name="グループ化 107">
          <a:extLst>
            <a:ext uri="{FF2B5EF4-FFF2-40B4-BE49-F238E27FC236}">
              <a16:creationId xmlns:a16="http://schemas.microsoft.com/office/drawing/2014/main" id="{135DF3FD-E328-634A-87CB-E671EE221435}"/>
            </a:ext>
          </a:extLst>
        </xdr:cNvPr>
        <xdr:cNvGrpSpPr/>
      </xdr:nvGrpSpPr>
      <xdr:grpSpPr>
        <a:xfrm>
          <a:off x="4852447" y="5502284"/>
          <a:ext cx="1047750" cy="1156919"/>
          <a:chOff x="328613" y="4329112"/>
          <a:chExt cx="1047749" cy="1147763"/>
        </a:xfrm>
      </xdr:grpSpPr>
      <xdr:sp macro="" textlink="">
        <xdr:nvSpPr>
          <xdr:cNvPr id="103" name="楕円 102">
            <a:extLst>
              <a:ext uri="{FF2B5EF4-FFF2-40B4-BE49-F238E27FC236}">
                <a16:creationId xmlns:a16="http://schemas.microsoft.com/office/drawing/2014/main" id="{52172F69-5CC0-E528-D009-62E50D270112}"/>
              </a:ext>
            </a:extLst>
          </xdr:cNvPr>
          <xdr:cNvSpPr/>
        </xdr:nvSpPr>
        <xdr:spPr>
          <a:xfrm>
            <a:off x="847727" y="4581526"/>
            <a:ext cx="423862" cy="433388"/>
          </a:xfrm>
          <a:prstGeom prst="ellipse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" name="円弧 103">
            <a:extLst>
              <a:ext uri="{FF2B5EF4-FFF2-40B4-BE49-F238E27FC236}">
                <a16:creationId xmlns:a16="http://schemas.microsoft.com/office/drawing/2014/main" id="{B0406ABA-088A-138F-DCD2-F0E946428013}"/>
              </a:ext>
            </a:extLst>
          </xdr:cNvPr>
          <xdr:cNvSpPr/>
        </xdr:nvSpPr>
        <xdr:spPr>
          <a:xfrm>
            <a:off x="890587" y="4657725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5" name="円弧 104">
            <a:extLst>
              <a:ext uri="{FF2B5EF4-FFF2-40B4-BE49-F238E27FC236}">
                <a16:creationId xmlns:a16="http://schemas.microsoft.com/office/drawing/2014/main" id="{5B17BA81-593F-43DC-A6D5-62A3F40AB167}"/>
              </a:ext>
            </a:extLst>
          </xdr:cNvPr>
          <xdr:cNvSpPr/>
        </xdr:nvSpPr>
        <xdr:spPr>
          <a:xfrm rot="10800000">
            <a:off x="1176337" y="4329112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6" name="円弧 105">
            <a:extLst>
              <a:ext uri="{FF2B5EF4-FFF2-40B4-BE49-F238E27FC236}">
                <a16:creationId xmlns:a16="http://schemas.microsoft.com/office/drawing/2014/main" id="{DFF4CBB0-F218-4AA4-B165-4965930BBFB1}"/>
              </a:ext>
            </a:extLst>
          </xdr:cNvPr>
          <xdr:cNvSpPr/>
        </xdr:nvSpPr>
        <xdr:spPr>
          <a:xfrm>
            <a:off x="328613" y="4814888"/>
            <a:ext cx="1047749" cy="128587"/>
          </a:xfrm>
          <a:prstGeom prst="arc">
            <a:avLst>
              <a:gd name="adj1" fmla="val 16200000"/>
              <a:gd name="adj2" fmla="val 21287475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7" name="円弧 106">
            <a:extLst>
              <a:ext uri="{FF2B5EF4-FFF2-40B4-BE49-F238E27FC236}">
                <a16:creationId xmlns:a16="http://schemas.microsoft.com/office/drawing/2014/main" id="{D30D02C1-44E4-4C72-BDD7-29AFA1602227}"/>
              </a:ext>
            </a:extLst>
          </xdr:cNvPr>
          <xdr:cNvSpPr/>
        </xdr:nvSpPr>
        <xdr:spPr>
          <a:xfrm>
            <a:off x="1009650" y="4591051"/>
            <a:ext cx="57150" cy="885824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38</xdr:col>
      <xdr:colOff>194860</xdr:colOff>
      <xdr:row>19</xdr:row>
      <xdr:rowOff>103437</xdr:rowOff>
    </xdr:from>
    <xdr:to>
      <xdr:col>39</xdr:col>
      <xdr:colOff>232301</xdr:colOff>
      <xdr:row>21</xdr:row>
      <xdr:rowOff>165782</xdr:rowOff>
    </xdr:to>
    <xdr:grpSp>
      <xdr:nvGrpSpPr>
        <xdr:cNvPr id="121" name="グループ化 120">
          <a:extLst>
            <a:ext uri="{FF2B5EF4-FFF2-40B4-BE49-F238E27FC236}">
              <a16:creationId xmlns:a16="http://schemas.microsoft.com/office/drawing/2014/main" id="{B070B36B-75C7-E0F9-B561-374ECBC2D38E}"/>
            </a:ext>
          </a:extLst>
        </xdr:cNvPr>
        <xdr:cNvGrpSpPr/>
      </xdr:nvGrpSpPr>
      <xdr:grpSpPr>
        <a:xfrm>
          <a:off x="9404506" y="4408995"/>
          <a:ext cx="275565" cy="512852"/>
          <a:chOff x="10424173" y="4037531"/>
          <a:chExt cx="275566" cy="511764"/>
        </a:xfrm>
      </xdr:grpSpPr>
      <xdr:grpSp>
        <xdr:nvGrpSpPr>
          <xdr:cNvPr id="118" name="グループ化 117">
            <a:extLst>
              <a:ext uri="{FF2B5EF4-FFF2-40B4-BE49-F238E27FC236}">
                <a16:creationId xmlns:a16="http://schemas.microsoft.com/office/drawing/2014/main" id="{359745CC-C9DA-2A84-0285-46318F39ECF1}"/>
              </a:ext>
            </a:extLst>
          </xdr:cNvPr>
          <xdr:cNvGrpSpPr/>
        </xdr:nvGrpSpPr>
        <xdr:grpSpPr>
          <a:xfrm>
            <a:off x="10424173" y="4037531"/>
            <a:ext cx="274683" cy="511764"/>
            <a:chOff x="10425112" y="4024313"/>
            <a:chExt cx="274683" cy="509587"/>
          </a:xfrm>
        </xdr:grpSpPr>
        <xdr:sp macro="" textlink="">
          <xdr:nvSpPr>
            <xdr:cNvPr id="115" name="正方形/長方形 114">
              <a:extLst>
                <a:ext uri="{FF2B5EF4-FFF2-40B4-BE49-F238E27FC236}">
                  <a16:creationId xmlns:a16="http://schemas.microsoft.com/office/drawing/2014/main" id="{259A5E07-C6FD-6EB8-CDE8-60ACCD8E4CE7}"/>
                </a:ext>
              </a:extLst>
            </xdr:cNvPr>
            <xdr:cNvSpPr/>
          </xdr:nvSpPr>
          <xdr:spPr>
            <a:xfrm>
              <a:off x="10425112" y="4024313"/>
              <a:ext cx="271462" cy="50958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6" name="正方形/長方形 115">
              <a:extLst>
                <a:ext uri="{FF2B5EF4-FFF2-40B4-BE49-F238E27FC236}">
                  <a16:creationId xmlns:a16="http://schemas.microsoft.com/office/drawing/2014/main" id="{297F7CD0-E2AD-704E-C430-9D7FEA348464}"/>
                </a:ext>
              </a:extLst>
            </xdr:cNvPr>
            <xdr:cNvSpPr/>
          </xdr:nvSpPr>
          <xdr:spPr>
            <a:xfrm>
              <a:off x="10438529" y="4039635"/>
              <a:ext cx="261266" cy="45525"/>
            </a:xfrm>
            <a:prstGeom prst="rect">
              <a:avLst/>
            </a:prstGeom>
            <a:solidFill>
              <a:schemeClr val="accent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7" name="正方形/長方形 116">
              <a:extLst>
                <a:ext uri="{FF2B5EF4-FFF2-40B4-BE49-F238E27FC236}">
                  <a16:creationId xmlns:a16="http://schemas.microsoft.com/office/drawing/2014/main" id="{4B802062-0050-C335-0562-33D1A71360AF}"/>
                </a:ext>
              </a:extLst>
            </xdr:cNvPr>
            <xdr:cNvSpPr/>
          </xdr:nvSpPr>
          <xdr:spPr>
            <a:xfrm>
              <a:off x="10465547" y="4341366"/>
              <a:ext cx="45719" cy="190500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19" name="正方形/長方形 118">
            <a:extLst>
              <a:ext uri="{FF2B5EF4-FFF2-40B4-BE49-F238E27FC236}">
                <a16:creationId xmlns:a16="http://schemas.microsoft.com/office/drawing/2014/main" id="{C97910A0-C419-410C-8BC2-DB801B30B798}"/>
              </a:ext>
            </a:extLst>
          </xdr:cNvPr>
          <xdr:cNvSpPr/>
        </xdr:nvSpPr>
        <xdr:spPr>
          <a:xfrm>
            <a:off x="10571932" y="4259419"/>
            <a:ext cx="45719" cy="28468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0" name="正方形/長方形 119">
            <a:extLst>
              <a:ext uri="{FF2B5EF4-FFF2-40B4-BE49-F238E27FC236}">
                <a16:creationId xmlns:a16="http://schemas.microsoft.com/office/drawing/2014/main" id="{91EACF5C-3312-4EC6-8670-E44A1C58D573}"/>
              </a:ext>
            </a:extLst>
          </xdr:cNvPr>
          <xdr:cNvSpPr/>
        </xdr:nvSpPr>
        <xdr:spPr>
          <a:xfrm flipH="1">
            <a:off x="10654020" y="4343266"/>
            <a:ext cx="45719" cy="19131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40</xdr:col>
      <xdr:colOff>23813</xdr:colOff>
      <xdr:row>19</xdr:row>
      <xdr:rowOff>109537</xdr:rowOff>
    </xdr:from>
    <xdr:to>
      <xdr:col>44</xdr:col>
      <xdr:colOff>0</xdr:colOff>
      <xdr:row>21</xdr:row>
      <xdr:rowOff>57150</xdr:rowOff>
    </xdr:to>
    <xdr:grpSp>
      <xdr:nvGrpSpPr>
        <xdr:cNvPr id="122" name="グループ化 121">
          <a:extLst>
            <a:ext uri="{FF2B5EF4-FFF2-40B4-BE49-F238E27FC236}">
              <a16:creationId xmlns:a16="http://schemas.microsoft.com/office/drawing/2014/main" id="{505D33D7-84CC-4D37-AA25-EA4E38340B9C}"/>
            </a:ext>
          </a:extLst>
        </xdr:cNvPr>
        <xdr:cNvGrpSpPr/>
      </xdr:nvGrpSpPr>
      <xdr:grpSpPr>
        <a:xfrm>
          <a:off x="9709709" y="4415095"/>
          <a:ext cx="928687" cy="398120"/>
          <a:chOff x="1176338" y="1633537"/>
          <a:chExt cx="1328736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4" name="下矢印 4">
            <a:extLst>
              <a:ext uri="{FF2B5EF4-FFF2-40B4-BE49-F238E27FC236}">
                <a16:creationId xmlns:a16="http://schemas.microsoft.com/office/drawing/2014/main" id="{ABB8B8C7-6C1E-32F0-F172-B58EDEB65E34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5400000">
            <a:off x="1366838" y="1538288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3" name="角丸四角形 3">
            <a:extLst>
              <a:ext uri="{FF2B5EF4-FFF2-40B4-BE49-F238E27FC236}">
                <a16:creationId xmlns:a16="http://schemas.microsoft.com/office/drawing/2014/main" id="{84B218BB-267C-F472-F6A7-23E3D8C6CF1A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508521" y="1633537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ゴール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22</xdr:col>
      <xdr:colOff>212468</xdr:colOff>
      <xdr:row>28</xdr:row>
      <xdr:rowOff>212068</xdr:rowOff>
    </xdr:from>
    <xdr:to>
      <xdr:col>25</xdr:col>
      <xdr:colOff>180975</xdr:colOff>
      <xdr:row>31</xdr:row>
      <xdr:rowOff>52389</xdr:rowOff>
    </xdr:to>
    <xdr:grpSp>
      <xdr:nvGrpSpPr>
        <xdr:cNvPr id="125" name="グループ化 124">
          <a:extLst>
            <a:ext uri="{FF2B5EF4-FFF2-40B4-BE49-F238E27FC236}">
              <a16:creationId xmlns:a16="http://schemas.microsoft.com/office/drawing/2014/main" id="{5D6C2C83-F22C-47C2-A33C-7AB9DB35C3F5}"/>
            </a:ext>
          </a:extLst>
        </xdr:cNvPr>
        <xdr:cNvGrpSpPr/>
      </xdr:nvGrpSpPr>
      <xdr:grpSpPr>
        <a:xfrm>
          <a:off x="5612114" y="6544906"/>
          <a:ext cx="682881" cy="516082"/>
          <a:chOff x="1103694" y="1000668"/>
          <a:chExt cx="1002758" cy="6156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6" name="下矢印 4">
            <a:extLst>
              <a:ext uri="{FF2B5EF4-FFF2-40B4-BE49-F238E27FC236}">
                <a16:creationId xmlns:a16="http://schemas.microsoft.com/office/drawing/2014/main" id="{27274ED5-3A88-8075-08B2-01E252A5CDC8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728405">
            <a:off x="1103694" y="1000668"/>
            <a:ext cx="220263" cy="397073"/>
          </a:xfrm>
          <a:prstGeom prst="downArrow">
            <a:avLst>
              <a:gd name="adj1" fmla="val 31990"/>
              <a:gd name="adj2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7" name="角丸四角形 3">
            <a:extLst>
              <a:ext uri="{FF2B5EF4-FFF2-40B4-BE49-F238E27FC236}">
                <a16:creationId xmlns:a16="http://schemas.microsoft.com/office/drawing/2014/main" id="{71C8F9E4-1DA6-12EE-D336-517667FAF84C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109899" y="1221064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ボール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42862</xdr:colOff>
      <xdr:row>19</xdr:row>
      <xdr:rowOff>219074</xdr:rowOff>
    </xdr:from>
    <xdr:to>
      <xdr:col>11</xdr:col>
      <xdr:colOff>47628</xdr:colOff>
      <xdr:row>21</xdr:row>
      <xdr:rowOff>166687</xdr:rowOff>
    </xdr:to>
    <xdr:grpSp>
      <xdr:nvGrpSpPr>
        <xdr:cNvPr id="133" name="グループ化 132">
          <a:extLst>
            <a:ext uri="{FF2B5EF4-FFF2-40B4-BE49-F238E27FC236}">
              <a16:creationId xmlns:a16="http://schemas.microsoft.com/office/drawing/2014/main" id="{CCAE8AB7-0BB7-4882-8C9A-BACA9D8B21C6}"/>
            </a:ext>
          </a:extLst>
        </xdr:cNvPr>
        <xdr:cNvGrpSpPr/>
      </xdr:nvGrpSpPr>
      <xdr:grpSpPr>
        <a:xfrm>
          <a:off x="680008" y="4524632"/>
          <a:ext cx="2147890" cy="398120"/>
          <a:chOff x="1466849" y="1262062"/>
          <a:chExt cx="2147891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34" name="角丸四角形 3">
            <a:extLst>
              <a:ext uri="{FF2B5EF4-FFF2-40B4-BE49-F238E27FC236}">
                <a16:creationId xmlns:a16="http://schemas.microsoft.com/office/drawing/2014/main" id="{E1623A8E-F313-A2F1-6D75-10906B88759F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角度決定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5" name="下矢印 4">
            <a:extLst>
              <a:ext uri="{FF2B5EF4-FFF2-40B4-BE49-F238E27FC236}">
                <a16:creationId xmlns:a16="http://schemas.microsoft.com/office/drawing/2014/main" id="{950B1BE2-FDC6-D76F-9671-C7C1D952E7F6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6200000">
            <a:off x="2928965" y="814416"/>
            <a:ext cx="118155" cy="1253394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24</xdr:col>
      <xdr:colOff>123826</xdr:colOff>
      <xdr:row>14</xdr:row>
      <xdr:rowOff>61913</xdr:rowOff>
    </xdr:from>
    <xdr:to>
      <xdr:col>25</xdr:col>
      <xdr:colOff>166688</xdr:colOff>
      <xdr:row>15</xdr:row>
      <xdr:rowOff>128588</xdr:rowOff>
    </xdr:to>
    <xdr:grpSp>
      <xdr:nvGrpSpPr>
        <xdr:cNvPr id="138" name="グループ化 137">
          <a:extLst>
            <a:ext uri="{FF2B5EF4-FFF2-40B4-BE49-F238E27FC236}">
              <a16:creationId xmlns:a16="http://schemas.microsoft.com/office/drawing/2014/main" id="{451FF472-B582-FCA9-FEEC-A9774DD0EE35}"/>
            </a:ext>
          </a:extLst>
        </xdr:cNvPr>
        <xdr:cNvGrpSpPr/>
      </xdr:nvGrpSpPr>
      <xdr:grpSpPr>
        <a:xfrm>
          <a:off x="5999722" y="3241204"/>
          <a:ext cx="280986" cy="291929"/>
          <a:chOff x="852488" y="5648325"/>
          <a:chExt cx="280987" cy="290513"/>
        </a:xfrm>
      </xdr:grpSpPr>
      <xdr:sp macro="" textlink="">
        <xdr:nvSpPr>
          <xdr:cNvPr id="136" name="楕円 135">
            <a:extLst>
              <a:ext uri="{FF2B5EF4-FFF2-40B4-BE49-F238E27FC236}">
                <a16:creationId xmlns:a16="http://schemas.microsoft.com/office/drawing/2014/main" id="{F26B84FF-5866-83E5-8F0B-0E59971501BC}"/>
              </a:ext>
            </a:extLst>
          </xdr:cNvPr>
          <xdr:cNvSpPr/>
        </xdr:nvSpPr>
        <xdr:spPr>
          <a:xfrm>
            <a:off x="852488" y="5648325"/>
            <a:ext cx="280987" cy="290513"/>
          </a:xfrm>
          <a:prstGeom prst="ellipse">
            <a:avLst/>
          </a:prstGeom>
          <a:solidFill>
            <a:srgbClr val="C5E0B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7" name="十字形 136">
            <a:extLst>
              <a:ext uri="{FF2B5EF4-FFF2-40B4-BE49-F238E27FC236}">
                <a16:creationId xmlns:a16="http://schemas.microsoft.com/office/drawing/2014/main" id="{5DA9D9D6-8111-DEC3-F451-71E67102FA49}"/>
              </a:ext>
            </a:extLst>
          </xdr:cNvPr>
          <xdr:cNvSpPr/>
        </xdr:nvSpPr>
        <xdr:spPr>
          <a:xfrm>
            <a:off x="909638" y="5710237"/>
            <a:ext cx="185737" cy="166687"/>
          </a:xfrm>
          <a:prstGeom prst="plus">
            <a:avLst>
              <a:gd name="adj" fmla="val 44231"/>
            </a:avLst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26</xdr:col>
      <xdr:colOff>73506</xdr:colOff>
      <xdr:row>8</xdr:row>
      <xdr:rowOff>0</xdr:rowOff>
    </xdr:from>
    <xdr:to>
      <xdr:col>31</xdr:col>
      <xdr:colOff>228600</xdr:colOff>
      <xdr:row>14</xdr:row>
      <xdr:rowOff>107784</xdr:rowOff>
    </xdr:to>
    <xdr:grpSp>
      <xdr:nvGrpSpPr>
        <xdr:cNvPr id="139" name="グループ化 138">
          <a:extLst>
            <a:ext uri="{FF2B5EF4-FFF2-40B4-BE49-F238E27FC236}">
              <a16:creationId xmlns:a16="http://schemas.microsoft.com/office/drawing/2014/main" id="{AF2A4CC7-D33B-495B-888A-852935214C93}"/>
            </a:ext>
          </a:extLst>
        </xdr:cNvPr>
        <xdr:cNvGrpSpPr/>
      </xdr:nvGrpSpPr>
      <xdr:grpSpPr>
        <a:xfrm>
          <a:off x="6425652" y="1802027"/>
          <a:ext cx="1345718" cy="1485048"/>
          <a:chOff x="1521305" y="1852612"/>
          <a:chExt cx="1345719" cy="14793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41" name="下矢印 4">
            <a:extLst>
              <a:ext uri="{FF2B5EF4-FFF2-40B4-BE49-F238E27FC236}">
                <a16:creationId xmlns:a16="http://schemas.microsoft.com/office/drawing/2014/main" id="{F8984ED5-1A96-E17A-E18A-626413E3EB3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349807">
            <a:off x="1521305" y="1906160"/>
            <a:ext cx="105554" cy="1425836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40" name="角丸四角形 3">
            <a:extLst>
              <a:ext uri="{FF2B5EF4-FFF2-40B4-BE49-F238E27FC236}">
                <a16:creationId xmlns:a16="http://schemas.microsoft.com/office/drawing/2014/main" id="{53DA099F-900E-4BED-2A06-02406CF1A086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回復アイテム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125964</xdr:colOff>
      <xdr:row>19</xdr:row>
      <xdr:rowOff>212381</xdr:rowOff>
    </xdr:from>
    <xdr:to>
      <xdr:col>12</xdr:col>
      <xdr:colOff>148023</xdr:colOff>
      <xdr:row>20</xdr:row>
      <xdr:rowOff>190436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517B473C-AAD9-4DCD-BA2A-DFEEE72C94B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906234" y="4517939"/>
          <a:ext cx="260185" cy="203308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1"/>
  <sheetViews>
    <sheetView zoomScaleNormal="100" workbookViewId="0">
      <selection activeCell="C1" sqref="C1:D1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88" customFormat="1">
      <c r="B1" s="87"/>
      <c r="C1" s="339" t="s">
        <v>281</v>
      </c>
      <c r="D1" s="242"/>
    </row>
    <row r="3" spans="2:4">
      <c r="B3" s="243" t="s">
        <v>0</v>
      </c>
      <c r="C3" s="243"/>
      <c r="D3" s="91"/>
    </row>
    <row r="4" spans="2:4">
      <c r="B4" s="7" t="str">
        <f>IF(C4="","","・")</f>
        <v>・</v>
      </c>
      <c r="C4" s="92" t="s">
        <v>1</v>
      </c>
      <c r="D4" s="4" t="s">
        <v>2</v>
      </c>
    </row>
    <row r="5" spans="2:4">
      <c r="B5" s="7" t="str">
        <f>IF(C5="","","・")</f>
        <v>・</v>
      </c>
      <c r="C5" s="92" t="s">
        <v>3</v>
      </c>
      <c r="D5" s="4" t="s">
        <v>4</v>
      </c>
    </row>
    <row r="6" spans="2:4">
      <c r="B6" s="7" t="str">
        <f t="shared" ref="B6:B21" si="0">IF(C6="","","・")</f>
        <v>・</v>
      </c>
      <c r="C6" s="92" t="s">
        <v>5</v>
      </c>
      <c r="D6" s="2" t="s">
        <v>6</v>
      </c>
    </row>
    <row r="7" spans="2:4">
      <c r="B7" s="7" t="str">
        <f t="shared" si="0"/>
        <v>・</v>
      </c>
      <c r="C7" s="92" t="s">
        <v>7</v>
      </c>
      <c r="D7" s="2" t="s">
        <v>8</v>
      </c>
    </row>
    <row r="8" spans="2:4">
      <c r="B8" s="7" t="str">
        <f>IF(C8="","","・")</f>
        <v>・</v>
      </c>
      <c r="C8" s="92" t="s">
        <v>9</v>
      </c>
      <c r="D8" s="2" t="s">
        <v>10</v>
      </c>
    </row>
    <row r="9" spans="2:4">
      <c r="B9" s="7" t="str">
        <f>IF(C9="","","・")</f>
        <v>・</v>
      </c>
      <c r="C9" s="92" t="s">
        <v>11</v>
      </c>
      <c r="D9" s="2"/>
    </row>
    <row r="10" spans="2:4">
      <c r="B10" s="7" t="str">
        <f t="shared" si="0"/>
        <v>・</v>
      </c>
      <c r="C10" s="130" t="s">
        <v>12</v>
      </c>
      <c r="D10" s="2" t="s">
        <v>13</v>
      </c>
    </row>
    <row r="11" spans="2:4">
      <c r="B11" s="7" t="str">
        <f>IF(C11="","","・")</f>
        <v>・</v>
      </c>
      <c r="C11" s="130" t="s">
        <v>14</v>
      </c>
      <c r="D11" s="2" t="s">
        <v>15</v>
      </c>
    </row>
    <row r="12" spans="2:4">
      <c r="B12" s="7" t="str">
        <f>IF(C12="","","・")</f>
        <v>・</v>
      </c>
      <c r="C12" s="130" t="s">
        <v>16</v>
      </c>
      <c r="D12" s="2" t="s">
        <v>17</v>
      </c>
    </row>
    <row r="13" spans="2:4">
      <c r="B13" s="7" t="str">
        <f>IF(C13="","","・")</f>
        <v>・</v>
      </c>
      <c r="C13" s="130" t="s">
        <v>18</v>
      </c>
      <c r="D13" s="2" t="s">
        <v>17</v>
      </c>
    </row>
    <row r="14" spans="2:4">
      <c r="B14" s="7" t="str">
        <f>IF(C14="","","・")</f>
        <v>・</v>
      </c>
      <c r="C14" s="130" t="s">
        <v>19</v>
      </c>
      <c r="D14" s="2" t="s">
        <v>17</v>
      </c>
    </row>
    <row r="15" spans="2:4">
      <c r="B15" s="7" t="str">
        <f t="shared" si="0"/>
        <v>・</v>
      </c>
      <c r="C15" s="92" t="s">
        <v>20</v>
      </c>
      <c r="D15" s="2" t="s">
        <v>21</v>
      </c>
    </row>
    <row r="16" spans="2:4">
      <c r="B16" s="7" t="str">
        <f t="shared" si="0"/>
        <v>・</v>
      </c>
      <c r="C16" s="130" t="s">
        <v>22</v>
      </c>
      <c r="D16" s="2" t="s">
        <v>23</v>
      </c>
    </row>
    <row r="17" spans="2:4">
      <c r="B17" s="7" t="str">
        <f t="shared" si="0"/>
        <v>・</v>
      </c>
      <c r="C17" s="93" t="s">
        <v>24</v>
      </c>
      <c r="D17" s="2" t="s">
        <v>25</v>
      </c>
    </row>
    <row r="18" spans="2:4">
      <c r="B18" s="7" t="str">
        <f t="shared" si="0"/>
        <v>・</v>
      </c>
      <c r="C18" s="93" t="s">
        <v>26</v>
      </c>
      <c r="D18" s="2" t="s">
        <v>27</v>
      </c>
    </row>
    <row r="19" spans="2:4">
      <c r="B19" s="7" t="s">
        <v>29</v>
      </c>
      <c r="C19" s="92" t="s">
        <v>30</v>
      </c>
      <c r="D19" s="2" t="s">
        <v>31</v>
      </c>
    </row>
    <row r="20" spans="2:4">
      <c r="B20" s="7" t="str">
        <f t="shared" si="0"/>
        <v/>
      </c>
      <c r="C20" s="6"/>
      <c r="D20" s="2"/>
    </row>
    <row r="21" spans="2:4" ht="18" thickBot="1">
      <c r="B21" s="7" t="str">
        <f t="shared" si="0"/>
        <v/>
      </c>
      <c r="C21" s="6"/>
      <c r="D21" s="3"/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19" location="エラー履歴!A1" display="デバッグリスト" xr:uid="{00000000-0004-0000-0000-000007000000}"/>
    <hyperlink ref="C9" location="ゲームメインフロー!A1" display="ゲームメインフロー" xr:uid="{59312646-FBA3-4F11-BB7B-5C34BD73533D}"/>
    <hyperlink ref="C11" location="タイトル画面!A1" display="タイトル画面" xr:uid="{637ADEAA-4A32-49DF-9A37-F3828749C6C1}"/>
    <hyperlink ref="C12" location="マップ選択画面!A1" display="マップ選択画面" xr:uid="{18500350-B9FB-4A42-A1C7-C3AADEBA0AC6}"/>
    <hyperlink ref="C13" location="'マップ選択画面 (2)'!A1" display="マップ選択画面(２)" xr:uid="{B1186745-574C-410E-A45A-BADF8F9AC26C}"/>
    <hyperlink ref="C14" location="'マップ選択画面 (3)'!A1" display="マップ選択画面(３)" xr:uid="{B16DD58B-EC5C-484C-9210-DE054B05EDBE}"/>
    <hyperlink ref="C16" location="サウンド一覧!A1" display="サウンド一覧" xr:uid="{58A9EA45-2A6D-429B-AB81-6B74DAC012A9}"/>
    <hyperlink ref="C10" location="一覧表項目説明!A1" display="一覧表項目説明" xr:uid="{33E9916F-D9D4-4A65-8E65-E7893ED467E8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54" bestFit="1" customWidth="1"/>
    <col min="3" max="3" width="48.5" bestFit="1" customWidth="1"/>
  </cols>
  <sheetData>
    <row r="1" spans="1:3" s="89" customFormat="1">
      <c r="A1" s="98" t="s">
        <v>32</v>
      </c>
      <c r="B1" s="90" t="s">
        <v>1</v>
      </c>
    </row>
    <row r="3" spans="1:3">
      <c r="B3" s="94" t="s">
        <v>33</v>
      </c>
      <c r="C3" s="1" t="s">
        <v>282</v>
      </c>
    </row>
    <row r="5" spans="1:3">
      <c r="B5" s="94" t="s">
        <v>34</v>
      </c>
      <c r="C5" s="76" t="s">
        <v>283</v>
      </c>
    </row>
    <row r="7" spans="1:3">
      <c r="B7" s="94" t="s">
        <v>35</v>
      </c>
      <c r="C7" s="76" t="s">
        <v>284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1" sqref="C1:C1048576"/>
    </sheetView>
  </sheetViews>
  <sheetFormatPr defaultColWidth="9" defaultRowHeight="17.649999999999999"/>
  <cols>
    <col min="1" max="1" width="5.25" style="12" bestFit="1" customWidth="1"/>
    <col min="2" max="2" width="17.375" style="12" bestFit="1" customWidth="1"/>
    <col min="3" max="4" width="14.625" style="12" customWidth="1"/>
    <col min="5" max="5" width="10.125" style="12" bestFit="1" customWidth="1"/>
    <col min="6" max="16384" width="9" style="12"/>
  </cols>
  <sheetData>
    <row r="1" spans="1:14" s="89" customFormat="1">
      <c r="A1" s="98" t="s">
        <v>32</v>
      </c>
      <c r="B1" s="89" t="s">
        <v>36</v>
      </c>
    </row>
    <row r="3" spans="1:14">
      <c r="B3" s="244" t="s">
        <v>37</v>
      </c>
      <c r="C3" s="244"/>
      <c r="D3" s="244"/>
    </row>
    <row r="4" spans="1:14">
      <c r="B4" s="80" t="s">
        <v>38</v>
      </c>
      <c r="C4" s="247"/>
      <c r="D4" s="247"/>
    </row>
    <row r="6" spans="1:14">
      <c r="B6" s="244" t="s">
        <v>39</v>
      </c>
      <c r="C6" s="244"/>
      <c r="D6" s="244"/>
    </row>
    <row r="7" spans="1:14">
      <c r="B7" s="14" t="s">
        <v>40</v>
      </c>
      <c r="C7" s="245" t="s">
        <v>41</v>
      </c>
      <c r="D7" s="246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244" t="s">
        <v>42</v>
      </c>
      <c r="C9" s="244"/>
      <c r="D9" s="244"/>
      <c r="H9"/>
      <c r="I9"/>
      <c r="J9"/>
      <c r="K9"/>
    </row>
    <row r="10" spans="1:14">
      <c r="B10" s="248" t="s">
        <v>43</v>
      </c>
      <c r="C10" s="13" t="s">
        <v>44</v>
      </c>
      <c r="D10" s="13" t="s">
        <v>255</v>
      </c>
      <c r="F10" s="56"/>
      <c r="G10" s="56"/>
      <c r="H10"/>
      <c r="I10"/>
      <c r="J10"/>
      <c r="K10"/>
      <c r="N10"/>
    </row>
    <row r="11" spans="1:14">
      <c r="B11" s="248"/>
      <c r="C11" s="13" t="s">
        <v>45</v>
      </c>
      <c r="D11" s="15"/>
      <c r="F11" s="56"/>
      <c r="G11" s="56"/>
      <c r="H11"/>
      <c r="I11"/>
      <c r="J11"/>
      <c r="K11"/>
      <c r="N11"/>
    </row>
    <row r="12" spans="1:14">
      <c r="B12" s="248"/>
      <c r="C12" s="13" t="s">
        <v>46</v>
      </c>
      <c r="D12" s="15"/>
      <c r="F12" s="56"/>
      <c r="G12" s="56"/>
      <c r="H12"/>
      <c r="I12"/>
      <c r="J12"/>
      <c r="K12"/>
      <c r="N12"/>
    </row>
    <row r="13" spans="1:14">
      <c r="B13" s="248"/>
      <c r="C13" s="13" t="s">
        <v>47</v>
      </c>
      <c r="D13" s="15"/>
      <c r="F13" s="56"/>
      <c r="G13" s="56"/>
      <c r="H13"/>
      <c r="I13"/>
      <c r="J13"/>
      <c r="K13"/>
      <c r="N13"/>
    </row>
    <row r="14" spans="1:14">
      <c r="B14" s="248"/>
      <c r="C14" s="13" t="s">
        <v>254</v>
      </c>
      <c r="D14" s="15"/>
      <c r="F14" s="56"/>
      <c r="G14" s="56"/>
      <c r="H14"/>
      <c r="I14"/>
      <c r="J14"/>
      <c r="K14"/>
      <c r="N14"/>
    </row>
    <row r="15" spans="1:14">
      <c r="B15"/>
      <c r="C15"/>
      <c r="D15"/>
      <c r="F15" s="56"/>
      <c r="G15" s="56"/>
      <c r="H15"/>
      <c r="I15"/>
      <c r="J15"/>
      <c r="K15"/>
      <c r="N15"/>
    </row>
    <row r="16" spans="1:14">
      <c r="B16" s="244" t="s">
        <v>48</v>
      </c>
      <c r="C16" s="244"/>
      <c r="D16" s="244"/>
    </row>
    <row r="17" spans="2:4">
      <c r="B17" s="14" t="s">
        <v>49</v>
      </c>
      <c r="C17" s="16"/>
      <c r="D17" s="15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2"/>
  <sheetViews>
    <sheetView topLeftCell="A33" zoomScaleNormal="100" workbookViewId="0">
      <selection activeCell="C17" sqref="C17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88" customFormat="1">
      <c r="A1" s="99" t="s">
        <v>32</v>
      </c>
      <c r="B1" s="87"/>
      <c r="C1" s="88" t="s">
        <v>5</v>
      </c>
    </row>
    <row r="2" spans="1:5" ht="18" thickBot="1"/>
    <row r="3" spans="1:5" ht="18" thickBot="1">
      <c r="C3" s="249" t="s">
        <v>50</v>
      </c>
      <c r="D3" s="250"/>
      <c r="E3" s="251"/>
    </row>
    <row r="4" spans="1:5">
      <c r="C4" s="8" t="s">
        <v>285</v>
      </c>
      <c r="D4" s="8" t="s">
        <v>287</v>
      </c>
      <c r="E4" s="8"/>
    </row>
    <row r="5" spans="1:5">
      <c r="C5" s="1"/>
      <c r="D5" s="1"/>
      <c r="E5" s="1"/>
    </row>
    <row r="6" spans="1:5">
      <c r="C6" s="1"/>
      <c r="D6" s="1"/>
      <c r="E6" s="1"/>
    </row>
    <row r="7" spans="1:5" ht="18" thickBot="1"/>
    <row r="8" spans="1:5" ht="18" thickBot="1">
      <c r="C8" s="340" t="s">
        <v>288</v>
      </c>
      <c r="D8" s="250"/>
      <c r="E8" s="251"/>
    </row>
    <row r="9" spans="1:5">
      <c r="C9" s="8" t="s">
        <v>286</v>
      </c>
      <c r="D9" s="8"/>
      <c r="E9" s="8"/>
    </row>
    <row r="10" spans="1:5">
      <c r="C10" s="8" t="s">
        <v>290</v>
      </c>
      <c r="D10" s="8" t="s">
        <v>289</v>
      </c>
      <c r="E10" s="8"/>
    </row>
    <row r="11" spans="1:5">
      <c r="C11" s="1"/>
      <c r="D11" s="1"/>
      <c r="E11" s="1"/>
    </row>
    <row r="13" spans="1:5" ht="18" thickBot="1"/>
    <row r="14" spans="1:5" ht="18" thickBot="1">
      <c r="C14" s="252" t="s">
        <v>51</v>
      </c>
      <c r="D14" s="250"/>
      <c r="E14" s="251"/>
    </row>
    <row r="15" spans="1:5" ht="18" customHeight="1">
      <c r="B15" s="5">
        <v>1</v>
      </c>
      <c r="C15" s="8" t="s">
        <v>291</v>
      </c>
      <c r="D15" s="8"/>
      <c r="E15" s="8"/>
    </row>
    <row r="16" spans="1:5" ht="18" customHeight="1">
      <c r="B16" s="5">
        <v>2</v>
      </c>
      <c r="C16" s="8" t="s">
        <v>292</v>
      </c>
      <c r="D16" s="185"/>
      <c r="E16" s="8"/>
    </row>
    <row r="17" spans="2:5">
      <c r="B17" s="5">
        <v>3</v>
      </c>
      <c r="C17" s="1" t="s">
        <v>304</v>
      </c>
      <c r="D17" s="83"/>
      <c r="E17" s="1"/>
    </row>
    <row r="18" spans="2:5">
      <c r="B18" s="5">
        <v>4</v>
      </c>
      <c r="C18" s="84"/>
      <c r="D18" s="85"/>
      <c r="E18" s="6"/>
    </row>
    <row r="19" spans="2:5">
      <c r="B19" s="5">
        <v>5</v>
      </c>
      <c r="C19" s="1"/>
      <c r="D19" s="86"/>
      <c r="E19" s="1"/>
    </row>
    <row r="20" spans="2:5">
      <c r="B20" s="5">
        <v>6</v>
      </c>
      <c r="C20" s="1"/>
      <c r="D20" s="1"/>
      <c r="E20" s="1"/>
    </row>
    <row r="21" spans="2:5">
      <c r="B21" s="5">
        <v>7</v>
      </c>
      <c r="C21" s="1"/>
      <c r="D21" s="1"/>
      <c r="E21" s="1"/>
    </row>
    <row r="22" spans="2:5">
      <c r="B22" s="5">
        <v>8</v>
      </c>
      <c r="C22" s="1"/>
      <c r="D22" s="1"/>
      <c r="E22" s="1"/>
    </row>
    <row r="23" spans="2:5">
      <c r="B23" s="5">
        <v>9</v>
      </c>
      <c r="C23" s="1"/>
      <c r="D23" s="1"/>
      <c r="E23" s="1"/>
    </row>
    <row r="24" spans="2:5">
      <c r="B24" s="5">
        <v>10</v>
      </c>
      <c r="C24" s="1"/>
      <c r="D24" s="1"/>
      <c r="E24" s="1"/>
    </row>
    <row r="25" spans="2:5">
      <c r="B25" s="5">
        <v>12</v>
      </c>
      <c r="C25" s="239"/>
      <c r="D25" s="239"/>
      <c r="E25" s="1"/>
    </row>
    <row r="26" spans="2:5">
      <c r="B26" s="5">
        <v>13</v>
      </c>
      <c r="C26" s="1"/>
      <c r="D26" s="1"/>
      <c r="E26" s="1"/>
    </row>
    <row r="27" spans="2:5">
      <c r="B27" s="5">
        <v>14</v>
      </c>
      <c r="C27" s="1"/>
      <c r="D27" s="1"/>
      <c r="E27" s="1"/>
    </row>
    <row r="28" spans="2:5">
      <c r="B28" s="5">
        <v>15</v>
      </c>
      <c r="C28" s="83"/>
      <c r="E28" s="1"/>
    </row>
    <row r="29" spans="2:5">
      <c r="B29" s="5">
        <v>16</v>
      </c>
      <c r="C29" s="82"/>
      <c r="D29" s="6"/>
      <c r="E29" s="1"/>
    </row>
    <row r="30" spans="2:5">
      <c r="B30" s="5">
        <v>17</v>
      </c>
      <c r="C30" s="8"/>
      <c r="D30" s="1"/>
      <c r="E30" s="1"/>
    </row>
    <row r="31" spans="2:5">
      <c r="B31" s="5">
        <v>18</v>
      </c>
      <c r="C31" s="1"/>
      <c r="D31" s="1"/>
      <c r="E31" s="1"/>
    </row>
    <row r="32" spans="2:5">
      <c r="B32" s="5">
        <v>19</v>
      </c>
      <c r="C32" s="1"/>
      <c r="D32" s="1"/>
      <c r="E32" s="1"/>
    </row>
    <row r="33" spans="2:5">
      <c r="B33" s="5">
        <v>20</v>
      </c>
      <c r="C33" s="1"/>
      <c r="D33" s="1"/>
      <c r="E33" s="1"/>
    </row>
    <row r="34" spans="2:5">
      <c r="B34" s="5">
        <v>21</v>
      </c>
      <c r="C34" s="1"/>
      <c r="D34" s="1"/>
      <c r="E34" s="1"/>
    </row>
    <row r="35" spans="2:5">
      <c r="B35" s="5">
        <v>22</v>
      </c>
      <c r="C35" s="1"/>
      <c r="D35" s="1"/>
      <c r="E35" s="1"/>
    </row>
    <row r="36" spans="2:5">
      <c r="B36" s="5">
        <v>23</v>
      </c>
      <c r="C36" s="1"/>
      <c r="D36" s="1"/>
      <c r="E36" s="1"/>
    </row>
    <row r="37" spans="2:5">
      <c r="B37" s="5">
        <v>24</v>
      </c>
      <c r="C37" s="1"/>
      <c r="D37" s="1"/>
      <c r="E37" s="1"/>
    </row>
    <row r="38" spans="2:5">
      <c r="B38" s="5">
        <v>25</v>
      </c>
      <c r="C38" s="1"/>
      <c r="D38" s="1"/>
      <c r="E38" s="1"/>
    </row>
    <row r="39" spans="2:5">
      <c r="B39" s="5">
        <v>26</v>
      </c>
      <c r="C39" s="1"/>
      <c r="D39" s="1"/>
      <c r="E39" s="1"/>
    </row>
    <row r="40" spans="2:5">
      <c r="B40" s="5">
        <v>27</v>
      </c>
      <c r="C40" s="1"/>
      <c r="D40" s="1"/>
      <c r="E40" s="1"/>
    </row>
    <row r="41" spans="2:5">
      <c r="B41" s="5">
        <v>28</v>
      </c>
      <c r="C41" s="1"/>
      <c r="D41" s="1"/>
      <c r="E41" s="1"/>
    </row>
    <row r="42" spans="2:5">
      <c r="B42" s="5">
        <v>29</v>
      </c>
      <c r="C42" s="1"/>
      <c r="D42" s="1"/>
      <c r="E42" s="1"/>
    </row>
    <row r="43" spans="2:5">
      <c r="B43" s="5">
        <v>30</v>
      </c>
      <c r="C43" s="1"/>
      <c r="D43" s="1"/>
      <c r="E43" s="1"/>
    </row>
    <row r="44" spans="2:5">
      <c r="B44" s="5">
        <v>31</v>
      </c>
      <c r="C44" s="1"/>
      <c r="D44" s="1"/>
      <c r="E44" s="1"/>
    </row>
    <row r="45" spans="2:5">
      <c r="B45" s="5">
        <v>32</v>
      </c>
      <c r="C45" s="1"/>
      <c r="D45" s="1"/>
      <c r="E45" s="1"/>
    </row>
    <row r="46" spans="2:5">
      <c r="B46" s="5">
        <v>33</v>
      </c>
      <c r="C46" s="1"/>
      <c r="D46" s="1"/>
      <c r="E46" s="1"/>
    </row>
    <row r="47" spans="2:5">
      <c r="B47" s="5">
        <v>34</v>
      </c>
      <c r="C47" s="1"/>
      <c r="D47" s="1"/>
      <c r="E47" s="1"/>
    </row>
    <row r="48" spans="2:5">
      <c r="B48" s="5">
        <v>35</v>
      </c>
      <c r="C48" s="1"/>
      <c r="D48" s="1"/>
      <c r="E48" s="1"/>
    </row>
    <row r="49" spans="2:5">
      <c r="B49" s="5">
        <v>36</v>
      </c>
      <c r="C49" s="1"/>
      <c r="D49" s="1"/>
      <c r="E49" s="1"/>
    </row>
    <row r="50" spans="2:5">
      <c r="B50" s="5">
        <v>37</v>
      </c>
      <c r="C50" s="1"/>
      <c r="D50" s="1"/>
      <c r="E50" s="1"/>
    </row>
    <row r="51" spans="2:5">
      <c r="B51" s="5">
        <v>38</v>
      </c>
      <c r="C51" s="1"/>
      <c r="D51" s="1"/>
      <c r="E51" s="1"/>
    </row>
    <row r="52" spans="2:5">
      <c r="B52" s="5">
        <v>39</v>
      </c>
      <c r="C52" s="1"/>
      <c r="D52" s="1"/>
      <c r="E52" s="1"/>
    </row>
    <row r="53" spans="2:5">
      <c r="B53" s="5">
        <v>40</v>
      </c>
      <c r="C53" s="1"/>
      <c r="D53" s="1"/>
      <c r="E53" s="1"/>
    </row>
    <row r="54" spans="2:5">
      <c r="B54" s="5">
        <v>41</v>
      </c>
      <c r="C54" s="1"/>
      <c r="D54" s="1"/>
      <c r="E54" s="1"/>
    </row>
    <row r="55" spans="2:5">
      <c r="B55" s="5">
        <v>42</v>
      </c>
      <c r="C55" s="1"/>
      <c r="D55" s="1"/>
      <c r="E55" s="1"/>
    </row>
    <row r="56" spans="2:5">
      <c r="B56" s="5">
        <v>43</v>
      </c>
      <c r="C56" s="1"/>
      <c r="D56" s="1"/>
      <c r="E56" s="1"/>
    </row>
    <row r="57" spans="2:5">
      <c r="B57" s="5">
        <v>44</v>
      </c>
      <c r="C57" s="1"/>
      <c r="D57" s="1"/>
      <c r="E57" s="1"/>
    </row>
    <row r="58" spans="2:5">
      <c r="B58" s="5">
        <v>45</v>
      </c>
      <c r="C58" s="1"/>
      <c r="D58" s="1"/>
      <c r="E58" s="1"/>
    </row>
    <row r="59" spans="2:5">
      <c r="B59" s="5">
        <v>46</v>
      </c>
      <c r="C59" s="1"/>
      <c r="D59" s="1"/>
      <c r="E59" s="1"/>
    </row>
    <row r="60" spans="2:5">
      <c r="B60" s="5">
        <v>47</v>
      </c>
      <c r="C60" s="1"/>
      <c r="D60" s="1"/>
      <c r="E60" s="1"/>
    </row>
    <row r="61" spans="2:5">
      <c r="B61" s="5">
        <v>48</v>
      </c>
      <c r="C61" s="1"/>
      <c r="D61" s="1"/>
      <c r="E61" s="1"/>
    </row>
    <row r="62" spans="2:5">
      <c r="B62" s="5">
        <v>49</v>
      </c>
      <c r="C62" s="1"/>
      <c r="D62" s="1"/>
      <c r="E62" s="1"/>
    </row>
    <row r="63" spans="2:5">
      <c r="B63" s="5">
        <v>50</v>
      </c>
      <c r="C63" s="1"/>
      <c r="D63" s="1"/>
      <c r="E63" s="1"/>
    </row>
    <row r="64" spans="2:5">
      <c r="B64" s="5">
        <v>51</v>
      </c>
      <c r="C64" s="1"/>
      <c r="D64" s="1"/>
      <c r="E64" s="1"/>
    </row>
    <row r="65" spans="2:5">
      <c r="B65" s="5">
        <v>52</v>
      </c>
      <c r="C65" s="1"/>
      <c r="D65" s="1"/>
      <c r="E65" s="1"/>
    </row>
    <row r="66" spans="2:5">
      <c r="B66" s="5">
        <v>53</v>
      </c>
      <c r="C66" s="1"/>
      <c r="D66" s="1"/>
      <c r="E66" s="1"/>
    </row>
    <row r="67" spans="2:5">
      <c r="C67" s="1"/>
      <c r="D67" s="1"/>
      <c r="E67" s="1"/>
    </row>
    <row r="68" spans="2:5">
      <c r="C68" s="1"/>
      <c r="D68" s="1"/>
      <c r="E68" s="1"/>
    </row>
    <row r="69" spans="2:5">
      <c r="C69" s="1"/>
      <c r="D69" s="1"/>
      <c r="E69" s="1"/>
    </row>
    <row r="70" spans="2:5">
      <c r="C70" s="1"/>
      <c r="D70" s="1"/>
      <c r="E70" s="1"/>
    </row>
    <row r="71" spans="2:5">
      <c r="C71" s="1"/>
      <c r="D71" s="1"/>
      <c r="E71" s="1"/>
    </row>
    <row r="72" spans="2:5">
      <c r="C72" s="1"/>
      <c r="D72" s="1"/>
      <c r="E72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workbookViewId="0">
      <selection activeCell="B15" sqref="B15"/>
    </sheetView>
  </sheetViews>
  <sheetFormatPr defaultColWidth="3.125" defaultRowHeight="17.649999999999999"/>
  <cols>
    <col min="1" max="1" width="5.25" bestFit="1" customWidth="1"/>
  </cols>
  <sheetData>
    <row r="1" spans="1:27" s="88" customFormat="1">
      <c r="A1" s="99" t="s">
        <v>32</v>
      </c>
      <c r="C1" s="253" t="s">
        <v>7</v>
      </c>
      <c r="D1" s="253"/>
      <c r="E1" s="253"/>
      <c r="F1" s="253"/>
    </row>
    <row r="3" spans="1:27">
      <c r="M3" s="258" t="s">
        <v>55</v>
      </c>
      <c r="N3" s="258"/>
      <c r="O3" s="258"/>
      <c r="P3" s="258"/>
      <c r="Q3" s="258"/>
    </row>
    <row r="4" spans="1:27">
      <c r="M4" s="258"/>
      <c r="N4" s="258"/>
      <c r="O4" s="258"/>
      <c r="P4" s="258"/>
      <c r="Q4" s="258"/>
    </row>
    <row r="5" spans="1:27">
      <c r="M5" s="258"/>
      <c r="N5" s="258"/>
      <c r="O5" s="258"/>
      <c r="P5" s="258"/>
      <c r="Q5" s="258"/>
    </row>
    <row r="8" spans="1:27" ht="18" thickBot="1">
      <c r="L8">
        <v>0</v>
      </c>
      <c r="V8">
        <v>1</v>
      </c>
    </row>
    <row r="9" spans="1:27">
      <c r="M9" s="271" t="s">
        <v>14</v>
      </c>
      <c r="N9" s="272"/>
      <c r="O9" s="272"/>
      <c r="P9" s="272"/>
      <c r="Q9" s="273"/>
      <c r="W9" s="263" t="s">
        <v>294</v>
      </c>
      <c r="X9" s="264"/>
      <c r="Y9" s="264"/>
      <c r="Z9" s="264"/>
      <c r="AA9" s="265"/>
    </row>
    <row r="10" spans="1:27">
      <c r="M10" s="274"/>
      <c r="N10" s="275"/>
      <c r="O10" s="275"/>
      <c r="P10" s="275"/>
      <c r="Q10" s="279"/>
      <c r="W10" s="266"/>
      <c r="X10" s="258"/>
      <c r="Y10" s="258"/>
      <c r="Z10" s="258"/>
      <c r="AA10" s="267"/>
    </row>
    <row r="11" spans="1:27" ht="18" thickBot="1">
      <c r="M11" s="276"/>
      <c r="N11" s="277"/>
      <c r="O11" s="277"/>
      <c r="P11" s="277"/>
      <c r="Q11" s="278"/>
      <c r="T11" t="s">
        <v>295</v>
      </c>
      <c r="W11" s="268"/>
      <c r="X11" s="269"/>
      <c r="Y11" s="269"/>
      <c r="Z11" s="269"/>
      <c r="AA11" s="270"/>
    </row>
    <row r="14" spans="1:27" ht="18" thickBot="1">
      <c r="L14">
        <v>2</v>
      </c>
    </row>
    <row r="15" spans="1:27">
      <c r="M15" s="271" t="s">
        <v>56</v>
      </c>
      <c r="N15" s="272"/>
      <c r="O15" s="272"/>
      <c r="P15" s="272"/>
      <c r="Q15" s="273"/>
    </row>
    <row r="16" spans="1:27">
      <c r="M16" s="274"/>
      <c r="N16" s="275"/>
      <c r="O16" s="275"/>
      <c r="P16" s="275"/>
      <c r="Q16" s="279"/>
    </row>
    <row r="17" spans="10:27" ht="18" thickBot="1">
      <c r="M17" s="276"/>
      <c r="N17" s="277"/>
      <c r="O17" s="277"/>
      <c r="P17" s="277"/>
      <c r="Q17" s="278"/>
    </row>
    <row r="19" spans="10:27" ht="18" thickBot="1">
      <c r="L19">
        <v>3</v>
      </c>
    </row>
    <row r="20" spans="10:27">
      <c r="M20" s="263" t="s">
        <v>153</v>
      </c>
      <c r="N20" s="264"/>
      <c r="O20" s="264"/>
      <c r="P20" s="264"/>
      <c r="Q20" s="265"/>
      <c r="AA20" s="34"/>
    </row>
    <row r="21" spans="10:27">
      <c r="M21" s="266"/>
      <c r="N21" s="258"/>
      <c r="O21" s="258"/>
      <c r="P21" s="258"/>
      <c r="Q21" s="267"/>
      <c r="AA21" s="34"/>
    </row>
    <row r="22" spans="10:27" ht="18" thickBot="1">
      <c r="M22" s="268"/>
      <c r="N22" s="269"/>
      <c r="O22" s="269"/>
      <c r="P22" s="269"/>
      <c r="Q22" s="270"/>
    </row>
    <row r="24" spans="10:27" ht="18" thickBot="1">
      <c r="U24">
        <v>5</v>
      </c>
    </row>
    <row r="25" spans="10:27">
      <c r="R25" t="s">
        <v>302</v>
      </c>
      <c r="V25" s="254" t="s">
        <v>296</v>
      </c>
      <c r="W25" s="255"/>
      <c r="X25" s="255"/>
      <c r="Y25" s="255"/>
      <c r="Z25" s="256"/>
    </row>
    <row r="26" spans="10:27" ht="18" customHeight="1">
      <c r="M26" t="s">
        <v>300</v>
      </c>
      <c r="V26" s="257"/>
      <c r="W26" s="258"/>
      <c r="X26" s="258"/>
      <c r="Y26" s="258"/>
      <c r="Z26" s="259"/>
    </row>
    <row r="27" spans="10:27" ht="18" customHeight="1" thickBot="1">
      <c r="V27" s="260"/>
      <c r="W27" s="261"/>
      <c r="X27" s="261"/>
      <c r="Y27" s="261"/>
      <c r="Z27" s="262"/>
    </row>
    <row r="28" spans="10:27" ht="18.600000000000001" customHeight="1">
      <c r="J28" t="s">
        <v>286</v>
      </c>
      <c r="P28" t="s">
        <v>301</v>
      </c>
    </row>
    <row r="29" spans="10:27">
      <c r="J29" t="s">
        <v>298</v>
      </c>
    </row>
    <row r="30" spans="10:27" ht="18" thickBot="1">
      <c r="L30">
        <v>4</v>
      </c>
    </row>
    <row r="31" spans="10:27">
      <c r="M31" s="263" t="s">
        <v>297</v>
      </c>
      <c r="N31" s="264"/>
      <c r="O31" s="264"/>
      <c r="P31" s="264"/>
      <c r="Q31" s="265"/>
      <c r="T31" t="s">
        <v>301</v>
      </c>
    </row>
    <row r="32" spans="10:27">
      <c r="M32" s="266"/>
      <c r="N32" s="258"/>
      <c r="O32" s="258"/>
      <c r="P32" s="258"/>
      <c r="Q32" s="267"/>
      <c r="V32" t="s">
        <v>303</v>
      </c>
    </row>
    <row r="33" spans="9:28" ht="18" thickBot="1">
      <c r="M33" s="268"/>
      <c r="N33" s="269"/>
      <c r="O33" s="269"/>
      <c r="P33" s="269"/>
      <c r="Q33" s="270"/>
    </row>
    <row r="34" spans="9:28">
      <c r="I34" t="s">
        <v>299</v>
      </c>
      <c r="X34" t="s">
        <v>302</v>
      </c>
    </row>
    <row r="36" spans="9:28" ht="18" thickBot="1">
      <c r="U36">
        <v>6</v>
      </c>
    </row>
    <row r="37" spans="9:28">
      <c r="V37" s="263" t="s">
        <v>293</v>
      </c>
      <c r="W37" s="264"/>
      <c r="X37" s="264"/>
      <c r="Y37" s="264"/>
      <c r="Z37" s="265"/>
    </row>
    <row r="38" spans="9:28">
      <c r="V38" s="266"/>
      <c r="W38" s="258"/>
      <c r="X38" s="258"/>
      <c r="Y38" s="258"/>
      <c r="Z38" s="267"/>
    </row>
    <row r="39" spans="9:28" ht="18" thickBot="1">
      <c r="V39" s="268"/>
      <c r="W39" s="269"/>
      <c r="X39" s="269"/>
      <c r="Y39" s="269"/>
      <c r="Z39" s="270"/>
    </row>
    <row r="44" spans="9:28">
      <c r="M44" s="81"/>
      <c r="N44" s="34"/>
      <c r="O44" s="34"/>
      <c r="P44" s="34"/>
      <c r="Q44" s="34"/>
      <c r="X44" s="81"/>
      <c r="Y44" s="34"/>
      <c r="Z44" s="34"/>
      <c r="AA44" s="34"/>
      <c r="AB44" s="34"/>
    </row>
    <row r="46" spans="9:28">
      <c r="Y46" s="68"/>
    </row>
    <row r="48" spans="9:28">
      <c r="R48" s="81"/>
      <c r="S48" s="34"/>
      <c r="T48" s="34"/>
      <c r="U48" s="34"/>
      <c r="V48" s="34"/>
    </row>
    <row r="49" spans="18:22">
      <c r="R49" s="34"/>
      <c r="S49" s="34"/>
      <c r="T49" s="34"/>
      <c r="U49" s="34"/>
      <c r="V49" s="34"/>
    </row>
    <row r="50" spans="18:22">
      <c r="R50" s="34"/>
      <c r="S50" s="34"/>
      <c r="T50" s="34"/>
      <c r="U50" s="34"/>
      <c r="V50" s="34"/>
    </row>
  </sheetData>
  <mergeCells count="9">
    <mergeCell ref="V25:Z27"/>
    <mergeCell ref="C1:F1"/>
    <mergeCell ref="M9:Q11"/>
    <mergeCell ref="M15:Q17"/>
    <mergeCell ref="M3:Q5"/>
    <mergeCell ref="V37:Z39"/>
    <mergeCell ref="W9:AA11"/>
    <mergeCell ref="M31:Q33"/>
    <mergeCell ref="M20:Q22"/>
  </mergeCells>
  <phoneticPr fontId="4"/>
  <hyperlinks>
    <hyperlink ref="M9:Q11" location="タイトル画面!A1" display="タイトル画面" xr:uid="{00000000-0004-0000-0400-000000000000}"/>
    <hyperlink ref="A1" location="目次!A1" display="◀" xr:uid="{00000000-0004-0000-0400-000001000000}"/>
    <hyperlink ref="M15:Q17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B1" workbookViewId="0">
      <selection activeCell="C5" sqref="C5"/>
    </sheetView>
  </sheetViews>
  <sheetFormatPr defaultRowHeight="17.649999999999999"/>
  <cols>
    <col min="1" max="1" width="5.25" bestFit="1" customWidth="1"/>
    <col min="3" max="3" width="29.75" bestFit="1" customWidth="1"/>
    <col min="4" max="4" width="19.25" bestFit="1" customWidth="1"/>
  </cols>
  <sheetData>
    <row r="1" spans="1:4" s="88" customFormat="1">
      <c r="A1" s="99" t="s">
        <v>32</v>
      </c>
      <c r="C1" s="87" t="s">
        <v>58</v>
      </c>
    </row>
    <row r="3" spans="1:4">
      <c r="C3" s="55" t="s">
        <v>59</v>
      </c>
      <c r="D3" s="55"/>
    </row>
    <row r="4" spans="1:4">
      <c r="C4" s="1" t="s">
        <v>270</v>
      </c>
      <c r="D4" s="1" t="s">
        <v>60</v>
      </c>
    </row>
    <row r="5" spans="1:4">
      <c r="C5" s="1"/>
      <c r="D5" s="1"/>
    </row>
    <row r="6" spans="1:4">
      <c r="C6" s="1"/>
      <c r="D6" s="1"/>
    </row>
    <row r="7" spans="1:4">
      <c r="C7" s="1"/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100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4"/>
  <sheetViews>
    <sheetView tabSelected="1" workbookViewId="0">
      <selection activeCell="C7" sqref="C7"/>
    </sheetView>
  </sheetViews>
  <sheetFormatPr defaultColWidth="3.125" defaultRowHeight="17.649999999999999"/>
  <cols>
    <col min="1" max="1" width="5.25" bestFit="1" customWidth="1"/>
  </cols>
  <sheetData>
    <row r="1" spans="1:8" s="88" customFormat="1">
      <c r="A1" s="99" t="s">
        <v>32</v>
      </c>
      <c r="C1" s="253" t="s">
        <v>52</v>
      </c>
      <c r="D1" s="253"/>
      <c r="E1" s="253"/>
      <c r="F1" s="253"/>
      <c r="G1" s="253"/>
    </row>
    <row r="2" spans="1:8" ht="18" thickBot="1"/>
    <row r="3" spans="1:8">
      <c r="C3" s="263" t="s">
        <v>53</v>
      </c>
      <c r="D3" s="264"/>
      <c r="E3" s="264"/>
      <c r="F3" s="264"/>
      <c r="G3" s="265"/>
      <c r="H3" s="54"/>
    </row>
    <row r="4" spans="1:8">
      <c r="C4" s="266"/>
      <c r="D4" s="341"/>
      <c r="E4" s="341"/>
      <c r="F4" s="341"/>
      <c r="G4" s="267"/>
    </row>
    <row r="5" spans="1:8" ht="18" thickBot="1">
      <c r="C5" s="268"/>
      <c r="D5" s="269"/>
      <c r="E5" s="269"/>
      <c r="F5" s="269"/>
      <c r="G5" s="270"/>
      <c r="H5" s="54"/>
    </row>
    <row r="6" spans="1:8">
      <c r="D6" s="54"/>
      <c r="E6" s="54"/>
      <c r="F6" s="54"/>
      <c r="G6" s="54"/>
      <c r="H6" s="54"/>
    </row>
    <row r="12" spans="1:8">
      <c r="C12" s="240"/>
      <c r="D12" s="54"/>
      <c r="E12" s="54"/>
      <c r="F12" s="54"/>
      <c r="G12" s="54"/>
    </row>
    <row r="13" spans="1:8">
      <c r="C13" s="54"/>
      <c r="D13" s="54"/>
      <c r="E13" s="54"/>
      <c r="F13" s="54"/>
      <c r="G13" s="54"/>
    </row>
    <row r="14" spans="1:8">
      <c r="C14" s="54"/>
      <c r="D14" s="54"/>
      <c r="E14" s="54"/>
      <c r="F14" s="54"/>
      <c r="G14" s="54"/>
    </row>
  </sheetData>
  <mergeCells count="2">
    <mergeCell ref="C1:G1"/>
    <mergeCell ref="C3:G5"/>
  </mergeCells>
  <phoneticPr fontId="4"/>
  <hyperlinks>
    <hyperlink ref="A1" location="目次!A1" display="◀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A6" sqref="A6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88" customFormat="1">
      <c r="A1" s="99" t="s">
        <v>32</v>
      </c>
      <c r="C1" s="242" t="s">
        <v>9</v>
      </c>
      <c r="D1" s="242"/>
    </row>
    <row r="3" spans="1:4">
      <c r="C3" s="1" t="s">
        <v>14</v>
      </c>
      <c r="D3" s="1" t="s">
        <v>61</v>
      </c>
    </row>
    <row r="4" spans="1:4">
      <c r="C4" s="1" t="s">
        <v>62</v>
      </c>
      <c r="D4" s="1" t="s">
        <v>63</v>
      </c>
    </row>
    <row r="5" spans="1:4">
      <c r="C5" s="1" t="s">
        <v>64</v>
      </c>
      <c r="D5" s="1" t="s">
        <v>65</v>
      </c>
    </row>
    <row r="6" spans="1:4">
      <c r="C6" s="1" t="s">
        <v>64</v>
      </c>
      <c r="D6" s="1" t="s">
        <v>66</v>
      </c>
    </row>
    <row r="7" spans="1:4">
      <c r="C7" s="1" t="s">
        <v>67</v>
      </c>
      <c r="D7" s="1" t="s">
        <v>68</v>
      </c>
    </row>
    <row r="8" spans="1:4">
      <c r="C8" s="1" t="s">
        <v>69</v>
      </c>
      <c r="D8" s="1" t="s">
        <v>70</v>
      </c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1"/>
  <sheetViews>
    <sheetView workbookViewId="0">
      <selection activeCell="H26" sqref="H26"/>
    </sheetView>
  </sheetViews>
  <sheetFormatPr defaultColWidth="3.125" defaultRowHeight="17.649999999999999"/>
  <cols>
    <col min="1" max="1" width="5.25" bestFit="1" customWidth="1"/>
  </cols>
  <sheetData>
    <row r="1" spans="1:11" s="88" customFormat="1">
      <c r="A1" s="99" t="s">
        <v>32</v>
      </c>
      <c r="C1" s="253" t="s">
        <v>11</v>
      </c>
      <c r="D1" s="253"/>
      <c r="E1" s="253"/>
      <c r="F1" s="253"/>
      <c r="G1" s="253"/>
      <c r="H1" s="253"/>
    </row>
    <row r="2" spans="1:11" ht="18" thickBot="1"/>
    <row r="3" spans="1:11">
      <c r="C3" s="263" t="s">
        <v>53</v>
      </c>
      <c r="D3" s="264"/>
      <c r="E3" s="264"/>
      <c r="F3" s="264"/>
      <c r="G3" s="265"/>
    </row>
    <row r="4" spans="1:11">
      <c r="C4" s="266"/>
      <c r="D4" s="258"/>
      <c r="E4" s="258"/>
      <c r="F4" s="258"/>
      <c r="G4" s="267"/>
      <c r="K4" t="s">
        <v>71</v>
      </c>
    </row>
    <row r="5" spans="1:11" ht="18" thickBot="1">
      <c r="C5" s="268"/>
      <c r="D5" s="269"/>
      <c r="E5" s="269"/>
      <c r="F5" s="269"/>
      <c r="G5" s="270"/>
      <c r="K5" t="s">
        <v>272</v>
      </c>
    </row>
    <row r="6" spans="1:11" ht="18" thickBot="1">
      <c r="E6" t="s">
        <v>54</v>
      </c>
    </row>
    <row r="7" spans="1:11">
      <c r="C7" s="263" t="s">
        <v>72</v>
      </c>
      <c r="D7" s="264"/>
      <c r="E7" s="264"/>
      <c r="F7" s="264"/>
      <c r="G7" s="265"/>
      <c r="K7" t="s">
        <v>264</v>
      </c>
    </row>
    <row r="8" spans="1:11">
      <c r="C8" s="266"/>
      <c r="D8" s="258"/>
      <c r="E8" s="258"/>
      <c r="F8" s="258"/>
      <c r="G8" s="267"/>
      <c r="K8" t="s">
        <v>265</v>
      </c>
    </row>
    <row r="9" spans="1:11" ht="18" thickBot="1">
      <c r="C9" s="268"/>
      <c r="D9" s="269"/>
      <c r="E9" s="269"/>
      <c r="F9" s="269"/>
      <c r="G9" s="270"/>
    </row>
    <row r="10" spans="1:11" ht="18" thickBot="1">
      <c r="E10" t="s">
        <v>54</v>
      </c>
      <c r="K10" t="s">
        <v>271</v>
      </c>
    </row>
    <row r="11" spans="1:11">
      <c r="C11" s="263" t="s">
        <v>276</v>
      </c>
      <c r="D11" s="264"/>
      <c r="E11" s="264"/>
      <c r="F11" s="264"/>
      <c r="G11" s="265"/>
    </row>
    <row r="12" spans="1:11">
      <c r="C12" s="266"/>
      <c r="D12" s="258"/>
      <c r="E12" s="258"/>
      <c r="F12" s="258"/>
      <c r="G12" s="267"/>
      <c r="K12" t="s">
        <v>277</v>
      </c>
    </row>
    <row r="13" spans="1:11" ht="18" thickBot="1">
      <c r="C13" s="268"/>
      <c r="D13" s="269"/>
      <c r="E13" s="269"/>
      <c r="F13" s="269"/>
      <c r="G13" s="270"/>
    </row>
    <row r="14" spans="1:11" ht="18" thickBot="1">
      <c r="E14" t="s">
        <v>54</v>
      </c>
    </row>
    <row r="15" spans="1:11">
      <c r="C15" s="263" t="s">
        <v>278</v>
      </c>
      <c r="D15" s="264"/>
      <c r="E15" s="264"/>
      <c r="F15" s="264"/>
      <c r="G15" s="265"/>
    </row>
    <row r="16" spans="1:11">
      <c r="C16" s="266"/>
      <c r="D16" s="258"/>
      <c r="E16" s="258"/>
      <c r="F16" s="258"/>
      <c r="G16" s="267"/>
      <c r="K16" t="s">
        <v>279</v>
      </c>
    </row>
    <row r="17" spans="3:11" ht="18" thickBot="1">
      <c r="C17" s="268"/>
      <c r="D17" s="269"/>
      <c r="E17" s="269"/>
      <c r="F17" s="269"/>
      <c r="G17" s="270"/>
    </row>
    <row r="18" spans="3:11" ht="18" thickBot="1">
      <c r="E18" t="s">
        <v>54</v>
      </c>
    </row>
    <row r="19" spans="3:11">
      <c r="C19" s="263" t="s">
        <v>273</v>
      </c>
      <c r="D19" s="264"/>
      <c r="E19" s="264"/>
      <c r="F19" s="264"/>
      <c r="G19" s="265"/>
    </row>
    <row r="20" spans="3:11">
      <c r="C20" s="266"/>
      <c r="D20" s="258"/>
      <c r="E20" s="258"/>
      <c r="F20" s="258"/>
      <c r="G20" s="267"/>
      <c r="K20" t="s">
        <v>274</v>
      </c>
    </row>
    <row r="21" spans="3:11" ht="18" thickBot="1">
      <c r="C21" s="268"/>
      <c r="D21" s="269"/>
      <c r="E21" s="269"/>
      <c r="F21" s="269"/>
      <c r="G21" s="270"/>
      <c r="K21" t="s">
        <v>275</v>
      </c>
    </row>
  </sheetData>
  <mergeCells count="6">
    <mergeCell ref="C19:G21"/>
    <mergeCell ref="C1:H1"/>
    <mergeCell ref="C3:G5"/>
    <mergeCell ref="C7:G9"/>
    <mergeCell ref="C11:G13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7.649999999999999"/>
  <sheetData/>
  <phoneticPr fontId="4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topLeftCell="A23" zoomScale="73" zoomScaleNormal="73" workbookViewId="0">
      <selection activeCell="H9" sqref="H9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88" customFormat="1">
      <c r="A1" s="99" t="s">
        <v>32</v>
      </c>
      <c r="C1" s="253" t="s">
        <v>14</v>
      </c>
      <c r="D1" s="253"/>
      <c r="E1" s="253"/>
      <c r="F1" s="253"/>
      <c r="G1" s="253"/>
      <c r="H1" s="253"/>
    </row>
    <row r="2" spans="1:72">
      <c r="C2" s="285" t="s">
        <v>52</v>
      </c>
      <c r="D2" s="285"/>
      <c r="E2" s="285"/>
      <c r="F2" s="285"/>
      <c r="G2" s="285"/>
      <c r="H2" s="285"/>
    </row>
    <row r="4" spans="1:72" ht="17.25" customHeight="1"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289" t="s">
        <v>73</v>
      </c>
      <c r="AW5" s="290"/>
      <c r="AX5" s="290"/>
      <c r="AY5" s="12"/>
      <c r="AZ5" s="12"/>
      <c r="BA5" s="12"/>
      <c r="BB5" s="12"/>
      <c r="BC5" s="12"/>
      <c r="BD5" s="12"/>
      <c r="BE5" s="12"/>
    </row>
    <row r="6" spans="1:72" ht="18.75" customHeight="1">
      <c r="J6" s="54">
        <v>1</v>
      </c>
      <c r="K6" s="36"/>
      <c r="L6" s="37"/>
      <c r="M6" s="37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9"/>
      <c r="AB6" s="39"/>
      <c r="AC6" s="39"/>
      <c r="AD6" s="39"/>
      <c r="AE6" s="38"/>
      <c r="AF6" s="38"/>
      <c r="AG6" s="38"/>
      <c r="AH6" s="38"/>
      <c r="AI6" s="38"/>
      <c r="AJ6" s="38"/>
      <c r="AK6" s="38"/>
      <c r="AL6" s="38"/>
      <c r="AM6" s="38"/>
      <c r="AN6" s="40"/>
      <c r="AO6" s="37"/>
      <c r="AP6" s="41"/>
      <c r="AQ6" s="34"/>
      <c r="AV6" s="291"/>
      <c r="AW6" s="292"/>
      <c r="AX6" s="292"/>
      <c r="AY6" s="292"/>
      <c r="AZ6" s="292"/>
      <c r="BA6" s="292"/>
      <c r="BB6" s="292"/>
      <c r="BC6" s="292"/>
      <c r="BD6" s="292"/>
      <c r="BE6" s="293"/>
    </row>
    <row r="7" spans="1:72" ht="18.75" customHeight="1">
      <c r="J7" s="54">
        <v>2</v>
      </c>
      <c r="K7" s="42"/>
      <c r="L7" s="43"/>
      <c r="M7" s="43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44"/>
      <c r="AB7" s="44"/>
      <c r="AC7" s="44"/>
      <c r="AD7" s="44"/>
      <c r="AE7" s="34"/>
      <c r="AF7" s="34"/>
      <c r="AG7" s="34"/>
      <c r="AH7" s="34"/>
      <c r="AI7" s="34"/>
      <c r="AJ7" s="34"/>
      <c r="AK7" s="34"/>
      <c r="AL7" s="34"/>
      <c r="AM7" s="34"/>
      <c r="AN7" s="43"/>
      <c r="AO7" s="43"/>
      <c r="AP7" s="45"/>
      <c r="AQ7" s="34"/>
      <c r="AT7" s="34"/>
      <c r="AU7" s="34"/>
      <c r="AV7" s="245" t="s">
        <v>74</v>
      </c>
      <c r="AW7" s="286"/>
      <c r="AX7" s="286"/>
      <c r="AY7" s="246"/>
      <c r="AZ7" s="13" t="s">
        <v>75</v>
      </c>
      <c r="BA7" s="247" t="s">
        <v>76</v>
      </c>
      <c r="BB7" s="247"/>
      <c r="BC7" s="247"/>
      <c r="BD7" s="247"/>
      <c r="BE7" s="247"/>
    </row>
    <row r="8" spans="1:72" ht="18.75" customHeight="1">
      <c r="J8" s="54">
        <v>3</v>
      </c>
      <c r="K8" s="46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44"/>
      <c r="AB8" s="44"/>
      <c r="AC8" s="44"/>
      <c r="AD8" s="4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47"/>
      <c r="AQ8" s="34"/>
      <c r="AT8" s="34"/>
      <c r="AU8" s="34"/>
    </row>
    <row r="9" spans="1:72" ht="18.75" customHeight="1">
      <c r="J9" s="54">
        <v>4</v>
      </c>
      <c r="K9" s="48"/>
      <c r="AP9" s="49"/>
      <c r="AT9" s="34"/>
      <c r="AU9" s="34"/>
    </row>
    <row r="10" spans="1:72">
      <c r="J10" s="54">
        <v>5</v>
      </c>
      <c r="K10" s="48"/>
      <c r="AP10" s="49"/>
    </row>
    <row r="11" spans="1:72">
      <c r="J11" s="54">
        <v>6</v>
      </c>
      <c r="K11" s="48"/>
      <c r="AP11" s="49"/>
    </row>
    <row r="12" spans="1:72">
      <c r="J12" s="54">
        <v>7</v>
      </c>
      <c r="K12" s="48"/>
      <c r="AP12" s="49"/>
    </row>
    <row r="13" spans="1:72" ht="17.649999999999999" customHeight="1">
      <c r="J13" s="54">
        <v>8</v>
      </c>
      <c r="K13" s="48"/>
      <c r="AP13" s="49"/>
      <c r="BB13" s="287" t="s">
        <v>77</v>
      </c>
      <c r="BC13" s="287"/>
      <c r="BD13" s="287"/>
      <c r="BE13" s="287"/>
      <c r="BF13" s="287"/>
      <c r="BG13" s="287"/>
      <c r="BH13" s="287"/>
      <c r="BI13" s="287"/>
      <c r="BJ13" s="287"/>
      <c r="BK13" s="287"/>
      <c r="BL13" s="287"/>
    </row>
    <row r="14" spans="1:72" ht="17.649999999999999" customHeight="1">
      <c r="J14" s="54">
        <v>9</v>
      </c>
      <c r="K14" s="48"/>
      <c r="AP14" s="49"/>
      <c r="BB14" s="283" t="s">
        <v>78</v>
      </c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</row>
    <row r="15" spans="1:72" ht="18.75" customHeight="1">
      <c r="J15" s="54">
        <v>10</v>
      </c>
      <c r="K15" s="48"/>
      <c r="AP15" s="49"/>
      <c r="BB15" s="283" t="s">
        <v>79</v>
      </c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</row>
    <row r="16" spans="1:72" ht="18.75" customHeight="1">
      <c r="J16" s="54">
        <v>11</v>
      </c>
      <c r="K16" s="48"/>
      <c r="AP16" s="49"/>
      <c r="BB16" s="283" t="s">
        <v>80</v>
      </c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</row>
    <row r="17" spans="10:64" ht="18" customHeight="1">
      <c r="J17" s="54">
        <v>12</v>
      </c>
      <c r="K17" s="48"/>
      <c r="V17" s="280" t="s">
        <v>81</v>
      </c>
      <c r="W17" s="281"/>
      <c r="X17" s="281"/>
      <c r="Y17" s="281"/>
      <c r="Z17" s="281"/>
      <c r="AA17" s="281"/>
      <c r="AB17" s="281"/>
      <c r="AC17" s="281"/>
      <c r="AD17" s="281"/>
      <c r="AP17" s="49"/>
      <c r="BB17" s="79"/>
      <c r="BC17" s="78"/>
      <c r="BD17" s="78"/>
      <c r="BE17" s="78"/>
      <c r="BF17" s="78"/>
      <c r="BG17" s="78"/>
      <c r="BH17" s="78"/>
      <c r="BI17" s="78"/>
      <c r="BJ17" s="78"/>
      <c r="BK17" s="78"/>
      <c r="BL17" s="78"/>
    </row>
    <row r="18" spans="10:64" ht="18" customHeight="1">
      <c r="J18" s="54">
        <v>13</v>
      </c>
      <c r="K18" s="48"/>
      <c r="V18" s="281"/>
      <c r="W18" s="281"/>
      <c r="X18" s="281"/>
      <c r="Y18" s="281"/>
      <c r="Z18" s="281"/>
      <c r="AA18" s="281"/>
      <c r="AB18" s="281"/>
      <c r="AC18" s="281"/>
      <c r="AD18" s="281"/>
      <c r="AP18" s="49"/>
      <c r="BB18" s="79"/>
      <c r="BC18" s="78"/>
      <c r="BD18" s="78"/>
      <c r="BE18" s="78"/>
      <c r="BF18" s="78"/>
      <c r="BG18" s="78"/>
      <c r="BH18" s="78"/>
      <c r="BI18" s="78"/>
      <c r="BJ18" s="78"/>
      <c r="BK18" s="78"/>
      <c r="BL18" s="78"/>
    </row>
    <row r="19" spans="10:64" ht="18" customHeight="1">
      <c r="J19" s="54">
        <v>14</v>
      </c>
      <c r="K19" s="48"/>
      <c r="V19" s="281"/>
      <c r="W19" s="281"/>
      <c r="X19" s="281"/>
      <c r="Y19" s="281"/>
      <c r="Z19" s="281"/>
      <c r="AA19" s="281"/>
      <c r="AB19" s="281"/>
      <c r="AC19" s="281"/>
      <c r="AD19" s="281"/>
      <c r="AP19" s="49"/>
      <c r="BB19" s="79"/>
      <c r="BC19" s="78"/>
      <c r="BD19" s="78"/>
      <c r="BE19" s="78"/>
      <c r="BF19" s="78"/>
      <c r="BG19" s="78"/>
      <c r="BH19" s="78"/>
      <c r="BI19" s="78"/>
      <c r="BJ19" s="78"/>
      <c r="BK19" s="78"/>
      <c r="BL19" s="78"/>
    </row>
    <row r="20" spans="10:64" ht="18" customHeight="1">
      <c r="J20" s="54">
        <v>15</v>
      </c>
      <c r="K20" s="48"/>
      <c r="N20" s="129"/>
      <c r="O20" s="129"/>
      <c r="P20" s="129"/>
      <c r="Q20" s="129"/>
      <c r="R20" s="129"/>
      <c r="S20" s="282" t="s">
        <v>82</v>
      </c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129"/>
      <c r="AJ20" s="129"/>
      <c r="AK20" s="129"/>
      <c r="AL20" s="129"/>
      <c r="AM20" s="129"/>
      <c r="AP20" s="49"/>
      <c r="AS20" s="284" t="s">
        <v>83</v>
      </c>
      <c r="AT20" s="258"/>
      <c r="AU20" s="258"/>
      <c r="AV20" s="258"/>
    </row>
    <row r="21" spans="10:64" ht="17.850000000000001" customHeight="1">
      <c r="J21" s="54">
        <v>16</v>
      </c>
      <c r="K21" s="48"/>
      <c r="N21" s="129"/>
      <c r="O21" s="129"/>
      <c r="P21" s="129"/>
      <c r="Q21" s="129"/>
      <c r="R21" s="129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129"/>
      <c r="AJ21" s="129"/>
      <c r="AK21" s="129"/>
      <c r="AL21" s="129"/>
      <c r="AM21" s="129"/>
      <c r="AP21" s="49"/>
    </row>
    <row r="22" spans="10:64" ht="18.75" customHeight="1">
      <c r="J22" s="54">
        <v>17</v>
      </c>
      <c r="K22" s="48"/>
      <c r="AP22" s="49"/>
    </row>
    <row r="23" spans="10:64" ht="18" thickBot="1">
      <c r="J23" s="54">
        <v>18</v>
      </c>
      <c r="K23" s="50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2"/>
    </row>
  </sheetData>
  <mergeCells count="13">
    <mergeCell ref="C1:H1"/>
    <mergeCell ref="C2:H2"/>
    <mergeCell ref="AV7:AY7"/>
    <mergeCell ref="BB13:BL13"/>
    <mergeCell ref="BB14:BL14"/>
    <mergeCell ref="AV5:AX5"/>
    <mergeCell ref="AV6:BE6"/>
    <mergeCell ref="BA7:BE7"/>
    <mergeCell ref="V17:AD19"/>
    <mergeCell ref="S20:AH21"/>
    <mergeCell ref="BB15:BL15"/>
    <mergeCell ref="BB16:BL16"/>
    <mergeCell ref="AS20:AV20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X23"/>
  <sheetViews>
    <sheetView zoomScale="87" zoomScaleNormal="87" workbookViewId="0">
      <selection activeCell="D6" sqref="D6"/>
    </sheetView>
  </sheetViews>
  <sheetFormatPr defaultColWidth="3.125" defaultRowHeight="17.649999999999999"/>
  <cols>
    <col min="1" max="16384" width="3.125" style="12"/>
  </cols>
  <sheetData>
    <row r="1" spans="1:50" s="88" customFormat="1">
      <c r="A1" s="99" t="s">
        <v>32</v>
      </c>
      <c r="C1" s="298" t="s">
        <v>16</v>
      </c>
      <c r="D1" s="253"/>
      <c r="E1" s="253"/>
      <c r="F1" s="253"/>
      <c r="G1" s="253"/>
      <c r="H1" s="253"/>
    </row>
    <row r="5" spans="1:50" ht="18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  <c r="R5">
        <v>13</v>
      </c>
      <c r="S5">
        <v>14</v>
      </c>
      <c r="T5">
        <v>15</v>
      </c>
      <c r="U5">
        <v>16</v>
      </c>
      <c r="V5">
        <v>17</v>
      </c>
      <c r="W5">
        <v>18</v>
      </c>
      <c r="X5">
        <v>19</v>
      </c>
      <c r="Y5">
        <v>20</v>
      </c>
      <c r="Z5">
        <v>21</v>
      </c>
      <c r="AA5">
        <v>22</v>
      </c>
      <c r="AB5">
        <v>23</v>
      </c>
      <c r="AC5">
        <v>24</v>
      </c>
      <c r="AD5">
        <v>25</v>
      </c>
      <c r="AE5">
        <v>26</v>
      </c>
      <c r="AF5">
        <v>27</v>
      </c>
      <c r="AG5">
        <v>28</v>
      </c>
      <c r="AH5">
        <v>29</v>
      </c>
      <c r="AI5">
        <v>30</v>
      </c>
      <c r="AJ5">
        <v>31</v>
      </c>
      <c r="AK5">
        <v>32</v>
      </c>
    </row>
    <row r="6" spans="1:50" s="20" customFormat="1" ht="18.75" customHeight="1">
      <c r="E6" s="54">
        <v>1</v>
      </c>
      <c r="F6" s="302" t="s">
        <v>84</v>
      </c>
      <c r="G6" s="303"/>
      <c r="H6" s="303"/>
      <c r="I6" s="303"/>
      <c r="J6" s="303"/>
      <c r="K6" s="28"/>
      <c r="L6" s="19"/>
      <c r="M6" s="19"/>
      <c r="N6" s="19"/>
      <c r="O6" s="19"/>
      <c r="P6" s="19"/>
      <c r="Q6" s="19"/>
      <c r="R6" s="19"/>
      <c r="S6" s="19"/>
      <c r="T6" s="19"/>
      <c r="U6" s="19"/>
      <c r="V6" s="27"/>
      <c r="W6" s="27"/>
      <c r="X6" s="27"/>
      <c r="Y6" s="27"/>
      <c r="Z6" s="19"/>
      <c r="AA6" s="19"/>
      <c r="AB6" s="19"/>
      <c r="AC6" s="19"/>
      <c r="AD6" s="19"/>
      <c r="AE6" s="19"/>
      <c r="AF6" s="19"/>
      <c r="AG6" s="19"/>
      <c r="AH6" s="19"/>
      <c r="AI6" s="28"/>
      <c r="AJ6" s="26"/>
      <c r="AK6" s="29"/>
      <c r="AO6" s="289" t="s">
        <v>73</v>
      </c>
      <c r="AP6" s="290"/>
      <c r="AQ6" s="290"/>
      <c r="AR6" s="12"/>
      <c r="AS6" s="12"/>
      <c r="AT6" s="12"/>
      <c r="AU6" s="12"/>
      <c r="AV6" s="12"/>
      <c r="AW6" s="12"/>
      <c r="AX6" s="12"/>
    </row>
    <row r="7" spans="1:50" s="20" customFormat="1" ht="18.75" customHeight="1">
      <c r="E7" s="54">
        <v>2</v>
      </c>
      <c r="F7" s="304"/>
      <c r="G7" s="305"/>
      <c r="H7" s="305"/>
      <c r="I7" s="305"/>
      <c r="J7" s="305"/>
      <c r="K7" s="238"/>
      <c r="V7" s="31"/>
      <c r="W7" s="31"/>
      <c r="X7" s="31"/>
      <c r="Y7" s="31"/>
      <c r="AI7" s="30"/>
      <c r="AJ7" s="30"/>
      <c r="AK7" s="32"/>
      <c r="AO7" s="291"/>
      <c r="AP7" s="292"/>
      <c r="AQ7" s="292"/>
      <c r="AR7" s="292"/>
      <c r="AS7" s="292"/>
      <c r="AT7" s="292"/>
      <c r="AU7" s="292"/>
      <c r="AV7" s="292"/>
      <c r="AW7" s="292"/>
      <c r="AX7" s="293"/>
    </row>
    <row r="8" spans="1:50" s="20" customFormat="1" ht="18.75" customHeight="1">
      <c r="E8" s="54">
        <v>3</v>
      </c>
      <c r="F8" s="306" t="s">
        <v>259</v>
      </c>
      <c r="G8" s="307"/>
      <c r="H8" s="307"/>
      <c r="I8" s="307"/>
      <c r="J8" s="307"/>
      <c r="K8" s="238"/>
      <c r="V8" s="31"/>
      <c r="W8" s="31"/>
      <c r="X8" s="31"/>
      <c r="Y8" s="31"/>
      <c r="AK8" s="33"/>
      <c r="AO8" s="299" t="s">
        <v>46</v>
      </c>
      <c r="AP8" s="300"/>
      <c r="AQ8" s="300"/>
      <c r="AR8" s="301"/>
      <c r="AS8" s="13" t="s">
        <v>75</v>
      </c>
      <c r="AT8" s="247" t="s">
        <v>85</v>
      </c>
      <c r="AU8" s="247"/>
      <c r="AV8" s="247"/>
      <c r="AW8" s="247"/>
      <c r="AX8" s="247"/>
    </row>
    <row r="9" spans="1:50" ht="17.649999999999999" customHeight="1">
      <c r="E9" s="54">
        <v>4</v>
      </c>
      <c r="F9" s="306"/>
      <c r="G9" s="307"/>
      <c r="H9" s="307"/>
      <c r="I9" s="307"/>
      <c r="J9" s="307"/>
      <c r="K9" s="238"/>
      <c r="AK9" s="22"/>
      <c r="AO9" s="296" t="s">
        <v>47</v>
      </c>
      <c r="AP9" s="296"/>
      <c r="AQ9" s="296"/>
      <c r="AR9" s="296"/>
      <c r="AS9" s="15" t="s">
        <v>75</v>
      </c>
      <c r="AT9" s="247" t="s">
        <v>86</v>
      </c>
      <c r="AU9" s="247"/>
      <c r="AV9" s="247"/>
      <c r="AW9" s="247"/>
      <c r="AX9" s="247"/>
    </row>
    <row r="10" spans="1:50" ht="17.649999999999999" customHeight="1">
      <c r="E10" s="54">
        <v>5</v>
      </c>
      <c r="F10" s="237"/>
      <c r="G10" s="238"/>
      <c r="H10" s="238"/>
      <c r="I10" s="238"/>
      <c r="J10" s="238"/>
      <c r="K10" s="238"/>
      <c r="AK10" s="22"/>
      <c r="AO10" s="297" t="s">
        <v>74</v>
      </c>
      <c r="AP10" s="297"/>
      <c r="AQ10" s="297"/>
      <c r="AR10" s="297"/>
      <c r="AS10" s="15" t="s">
        <v>75</v>
      </c>
      <c r="AT10" s="247" t="s">
        <v>87</v>
      </c>
      <c r="AU10" s="247"/>
      <c r="AV10" s="247"/>
      <c r="AW10" s="247"/>
      <c r="AX10" s="247"/>
    </row>
    <row r="11" spans="1:50" ht="18" customHeight="1" thickBot="1">
      <c r="E11" s="54">
        <v>6</v>
      </c>
      <c r="F11" s="237"/>
      <c r="G11" s="238"/>
      <c r="H11" s="238"/>
      <c r="I11" s="238"/>
      <c r="J11" s="238"/>
      <c r="K11" s="238"/>
      <c r="AK11" s="22"/>
      <c r="AO11" s="247" t="s">
        <v>88</v>
      </c>
      <c r="AP11" s="247"/>
      <c r="AQ11" s="247"/>
      <c r="AR11" s="247"/>
      <c r="AS11" s="13" t="s">
        <v>89</v>
      </c>
      <c r="AT11" s="247" t="s">
        <v>90</v>
      </c>
      <c r="AU11" s="247"/>
      <c r="AV11" s="247"/>
      <c r="AW11" s="247"/>
      <c r="AX11" s="247"/>
    </row>
    <row r="12" spans="1:50">
      <c r="E12" s="54">
        <v>7</v>
      </c>
      <c r="F12" s="21"/>
      <c r="J12" s="151"/>
      <c r="K12" s="152"/>
      <c r="L12" s="152"/>
      <c r="M12" s="152"/>
      <c r="N12" s="152"/>
      <c r="O12" s="152"/>
      <c r="P12" s="152"/>
      <c r="Q12" s="152"/>
      <c r="R12" s="152"/>
      <c r="S12" s="152"/>
      <c r="T12" s="153"/>
      <c r="W12" s="134"/>
      <c r="X12" s="135"/>
      <c r="Y12" s="136"/>
      <c r="Z12" s="135"/>
      <c r="AA12" s="135"/>
      <c r="AB12" s="135"/>
      <c r="AC12" s="135"/>
      <c r="AD12" s="135"/>
      <c r="AE12" s="135"/>
      <c r="AF12" s="135"/>
      <c r="AG12" s="137"/>
      <c r="AK12" s="22"/>
    </row>
    <row r="13" spans="1:50">
      <c r="E13" s="54">
        <v>8</v>
      </c>
      <c r="F13" s="21"/>
      <c r="J13" s="143"/>
      <c r="K13" s="144"/>
      <c r="L13" s="144"/>
      <c r="M13" s="144"/>
      <c r="N13" s="144"/>
      <c r="O13" s="144"/>
      <c r="P13" s="144"/>
      <c r="Q13" s="144"/>
      <c r="R13" s="144"/>
      <c r="S13" s="144"/>
      <c r="T13" s="150"/>
      <c r="W13" s="138"/>
      <c r="X13" s="131"/>
      <c r="Y13" s="131"/>
      <c r="Z13" s="131"/>
      <c r="AA13" s="132"/>
      <c r="AB13" s="132"/>
      <c r="AC13" s="132"/>
      <c r="AD13" s="132"/>
      <c r="AE13" s="132"/>
      <c r="AF13" s="132"/>
      <c r="AG13" s="139"/>
      <c r="AK13" s="22"/>
    </row>
    <row r="14" spans="1:50">
      <c r="E14" s="54">
        <v>9</v>
      </c>
      <c r="F14" s="21"/>
      <c r="J14" s="143"/>
      <c r="K14" s="144"/>
      <c r="L14" s="144"/>
      <c r="M14" s="144"/>
      <c r="N14" s="144"/>
      <c r="O14" s="144"/>
      <c r="P14" s="144"/>
      <c r="Q14" s="144"/>
      <c r="R14" s="144"/>
      <c r="S14" s="144"/>
      <c r="T14" s="150"/>
      <c r="W14" s="138"/>
      <c r="X14" s="132"/>
      <c r="Y14" s="132"/>
      <c r="Z14" s="132"/>
      <c r="AA14" s="132"/>
      <c r="AB14" s="132"/>
      <c r="AC14" s="132"/>
      <c r="AD14" s="131"/>
      <c r="AE14" s="131"/>
      <c r="AF14" s="131"/>
      <c r="AG14" s="139"/>
      <c r="AK14" s="22"/>
    </row>
    <row r="15" spans="1:50">
      <c r="E15" s="54">
        <v>10</v>
      </c>
      <c r="F15" s="21"/>
      <c r="J15" s="143"/>
      <c r="K15" s="144"/>
      <c r="L15" s="144"/>
      <c r="M15" s="144"/>
      <c r="N15" s="144"/>
      <c r="O15" s="144"/>
      <c r="P15" s="144"/>
      <c r="Q15" s="144"/>
      <c r="R15" s="144"/>
      <c r="S15" s="144"/>
      <c r="T15" s="150"/>
      <c r="W15" s="138"/>
      <c r="X15" s="132"/>
      <c r="Y15" s="132"/>
      <c r="Z15" s="132"/>
      <c r="AA15" s="132"/>
      <c r="AB15" s="132"/>
      <c r="AC15" s="132"/>
      <c r="AD15" s="132"/>
      <c r="AE15" s="132"/>
      <c r="AF15" s="132"/>
      <c r="AG15" s="139"/>
      <c r="AK15" s="22"/>
    </row>
    <row r="16" spans="1:50">
      <c r="E16" s="54">
        <v>11</v>
      </c>
      <c r="F16" s="21"/>
      <c r="J16" s="143"/>
      <c r="K16" s="144"/>
      <c r="L16" s="144"/>
      <c r="M16" s="144"/>
      <c r="N16" s="144"/>
      <c r="O16" s="144"/>
      <c r="P16" s="144"/>
      <c r="Q16" s="144"/>
      <c r="R16" s="144"/>
      <c r="S16" s="144"/>
      <c r="T16" s="150"/>
      <c r="W16" s="138"/>
      <c r="X16" s="132"/>
      <c r="Y16" s="132"/>
      <c r="Z16" s="154"/>
      <c r="AA16" s="154"/>
      <c r="AB16" s="132"/>
      <c r="AC16" s="132"/>
      <c r="AD16" s="154"/>
      <c r="AE16" s="132"/>
      <c r="AF16" s="132"/>
      <c r="AG16" s="139"/>
      <c r="AK16" s="22"/>
    </row>
    <row r="17" spans="5:37">
      <c r="E17" s="54">
        <v>12</v>
      </c>
      <c r="F17" s="21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50"/>
      <c r="W17" s="138"/>
      <c r="X17" s="132"/>
      <c r="Y17" s="132"/>
      <c r="Z17" s="154"/>
      <c r="AA17" s="154"/>
      <c r="AB17" s="132"/>
      <c r="AC17" s="132"/>
      <c r="AD17" s="154"/>
      <c r="AE17" s="154"/>
      <c r="AF17" s="132"/>
      <c r="AG17" s="139"/>
      <c r="AK17" s="22"/>
    </row>
    <row r="18" spans="5:37">
      <c r="E18" s="54">
        <v>13</v>
      </c>
      <c r="F18" s="21"/>
      <c r="J18" s="143"/>
      <c r="K18" s="144"/>
      <c r="L18" s="145"/>
      <c r="M18" s="145"/>
      <c r="N18" s="144"/>
      <c r="O18" s="144"/>
      <c r="P18" s="144"/>
      <c r="Q18" s="144"/>
      <c r="R18" s="144"/>
      <c r="S18" s="144"/>
      <c r="T18" s="150"/>
      <c r="W18" s="138"/>
      <c r="X18" s="132"/>
      <c r="Y18" s="132"/>
      <c r="Z18" s="154"/>
      <c r="AA18" s="154"/>
      <c r="AB18" s="132"/>
      <c r="AC18" s="132"/>
      <c r="AD18" s="154"/>
      <c r="AE18" s="154"/>
      <c r="AF18" s="132"/>
      <c r="AG18" s="139"/>
      <c r="AK18" s="22"/>
    </row>
    <row r="19" spans="5:37" ht="17.649999999999999" customHeight="1">
      <c r="E19" s="54">
        <v>14</v>
      </c>
      <c r="F19" s="21"/>
      <c r="J19" s="146"/>
      <c r="K19" s="144"/>
      <c r="L19" s="145"/>
      <c r="M19" s="145"/>
      <c r="N19" s="144"/>
      <c r="O19" s="144"/>
      <c r="P19" s="144"/>
      <c r="Q19" s="144"/>
      <c r="R19" s="144"/>
      <c r="S19" s="144"/>
      <c r="T19" s="150"/>
      <c r="W19" s="138"/>
      <c r="X19" s="133"/>
      <c r="Y19" s="155"/>
      <c r="Z19" s="154"/>
      <c r="AA19" s="154"/>
      <c r="AB19" s="132"/>
      <c r="AC19" s="132"/>
      <c r="AD19" s="154"/>
      <c r="AE19" s="154"/>
      <c r="AF19" s="133"/>
      <c r="AG19" s="139"/>
      <c r="AK19" s="22"/>
    </row>
    <row r="20" spans="5:37" ht="18" thickBot="1">
      <c r="E20" s="54">
        <v>15</v>
      </c>
      <c r="F20" s="21"/>
      <c r="J20" s="147"/>
      <c r="K20" s="148"/>
      <c r="L20" s="148"/>
      <c r="M20" s="148"/>
      <c r="N20" s="148"/>
      <c r="O20" s="148"/>
      <c r="P20" s="148"/>
      <c r="Q20" s="148"/>
      <c r="R20" s="148"/>
      <c r="S20" s="148"/>
      <c r="T20" s="149"/>
      <c r="W20" s="140"/>
      <c r="X20" s="141"/>
      <c r="Y20" s="141"/>
      <c r="Z20" s="141"/>
      <c r="AA20" s="141"/>
      <c r="AB20" s="141"/>
      <c r="AC20" s="141"/>
      <c r="AD20" s="141"/>
      <c r="AE20" s="141"/>
      <c r="AF20" s="141"/>
      <c r="AG20" s="142"/>
      <c r="AK20" s="22"/>
    </row>
    <row r="21" spans="5:37" ht="17.649999999999999" customHeight="1">
      <c r="E21" s="54">
        <v>16</v>
      </c>
      <c r="F21" s="21"/>
      <c r="K21" s="294" t="s">
        <v>91</v>
      </c>
      <c r="L21" s="294"/>
      <c r="M21" s="294"/>
      <c r="N21" s="294"/>
      <c r="O21" s="294"/>
      <c r="P21" s="294"/>
      <c r="Q21" s="294"/>
      <c r="R21" s="294"/>
      <c r="S21" s="294"/>
      <c r="X21" s="294" t="s">
        <v>92</v>
      </c>
      <c r="Y21" s="294"/>
      <c r="Z21" s="294"/>
      <c r="AA21" s="294"/>
      <c r="AB21" s="294"/>
      <c r="AC21" s="294"/>
      <c r="AD21" s="294"/>
      <c r="AE21" s="294"/>
      <c r="AF21" s="294"/>
      <c r="AK21" s="22"/>
    </row>
    <row r="22" spans="5:37">
      <c r="E22" s="54">
        <v>17</v>
      </c>
      <c r="F22" s="21"/>
      <c r="K22" s="295"/>
      <c r="L22" s="295"/>
      <c r="M22" s="295"/>
      <c r="N22" s="295"/>
      <c r="O22" s="295"/>
      <c r="P22" s="295"/>
      <c r="Q22" s="295"/>
      <c r="R22" s="295"/>
      <c r="S22" s="295"/>
      <c r="X22" s="295"/>
      <c r="Y22" s="295"/>
      <c r="Z22" s="295"/>
      <c r="AA22" s="295"/>
      <c r="AB22" s="295"/>
      <c r="AC22" s="295"/>
      <c r="AD22" s="295"/>
      <c r="AE22" s="295"/>
      <c r="AF22" s="295"/>
      <c r="AK22" s="22"/>
    </row>
    <row r="23" spans="5:37" ht="18" thickBot="1">
      <c r="E23" s="54">
        <v>18</v>
      </c>
      <c r="F23" s="2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5"/>
    </row>
  </sheetData>
  <mergeCells count="15">
    <mergeCell ref="C1:H1"/>
    <mergeCell ref="AO6:AQ6"/>
    <mergeCell ref="AO7:AX7"/>
    <mergeCell ref="AO8:AR8"/>
    <mergeCell ref="AT8:AX8"/>
    <mergeCell ref="F6:J7"/>
    <mergeCell ref="F8:J9"/>
    <mergeCell ref="K21:S22"/>
    <mergeCell ref="X21:AF22"/>
    <mergeCell ref="AO9:AR9"/>
    <mergeCell ref="AT9:AX9"/>
    <mergeCell ref="AO10:AR10"/>
    <mergeCell ref="AT10:AX10"/>
    <mergeCell ref="AO11:AR11"/>
    <mergeCell ref="AT11:AX11"/>
  </mergeCells>
  <phoneticPr fontId="4"/>
  <hyperlinks>
    <hyperlink ref="A1" location="目次!A1" display="◀" xr:uid="{00000000-0004-0000-0B00-000000000000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E1857-A2E4-48CB-8918-E57AB391109A}">
  <dimension ref="A1:AX23"/>
  <sheetViews>
    <sheetView topLeftCell="A4" zoomScale="87" zoomScaleNormal="87" workbookViewId="0">
      <selection activeCell="B6" sqref="B6"/>
    </sheetView>
  </sheetViews>
  <sheetFormatPr defaultColWidth="3.125" defaultRowHeight="17.649999999999999"/>
  <cols>
    <col min="1" max="17" width="3.125" style="12"/>
    <col min="18" max="18" width="3.125" style="12" customWidth="1"/>
    <col min="19" max="16384" width="3.125" style="12"/>
  </cols>
  <sheetData>
    <row r="1" spans="1:50" s="88" customFormat="1">
      <c r="A1" s="99" t="s">
        <v>32</v>
      </c>
      <c r="C1" s="298" t="s">
        <v>93</v>
      </c>
      <c r="D1" s="253"/>
      <c r="E1" s="253"/>
      <c r="F1" s="253"/>
      <c r="G1" s="253"/>
      <c r="H1" s="253"/>
    </row>
    <row r="5" spans="1:50" ht="18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  <c r="R5">
        <v>13</v>
      </c>
      <c r="S5">
        <v>14</v>
      </c>
      <c r="T5">
        <v>15</v>
      </c>
      <c r="U5">
        <v>16</v>
      </c>
      <c r="V5">
        <v>17</v>
      </c>
      <c r="W5">
        <v>18</v>
      </c>
      <c r="X5">
        <v>19</v>
      </c>
      <c r="Y5">
        <v>20</v>
      </c>
      <c r="Z5">
        <v>21</v>
      </c>
      <c r="AA5">
        <v>22</v>
      </c>
      <c r="AB5">
        <v>23</v>
      </c>
      <c r="AC5">
        <v>24</v>
      </c>
      <c r="AD5">
        <v>25</v>
      </c>
      <c r="AE5">
        <v>26</v>
      </c>
      <c r="AF5">
        <v>27</v>
      </c>
      <c r="AG5">
        <v>28</v>
      </c>
      <c r="AH5">
        <v>29</v>
      </c>
      <c r="AI5">
        <v>30</v>
      </c>
      <c r="AJ5">
        <v>31</v>
      </c>
      <c r="AK5">
        <v>32</v>
      </c>
    </row>
    <row r="6" spans="1:50" s="20" customFormat="1" ht="18.75" customHeight="1">
      <c r="E6" s="54">
        <v>1</v>
      </c>
      <c r="F6" s="302" t="s">
        <v>84</v>
      </c>
      <c r="G6" s="312"/>
      <c r="H6" s="312"/>
      <c r="I6" s="312"/>
      <c r="J6" s="312"/>
      <c r="K6" s="312"/>
      <c r="L6" s="19"/>
      <c r="M6" s="19"/>
      <c r="N6" s="19"/>
      <c r="O6" s="19"/>
      <c r="P6" s="19"/>
      <c r="Q6" s="19"/>
      <c r="R6" s="19"/>
      <c r="S6" s="19"/>
      <c r="T6" s="19"/>
      <c r="U6" s="19"/>
      <c r="V6" s="27"/>
      <c r="W6" s="27"/>
      <c r="X6" s="27"/>
      <c r="Y6" s="27"/>
      <c r="Z6" s="19"/>
      <c r="AA6" s="19"/>
      <c r="AB6" s="19"/>
      <c r="AC6" s="19"/>
      <c r="AD6" s="19"/>
      <c r="AE6" s="19"/>
      <c r="AF6" s="19"/>
      <c r="AG6" s="19"/>
      <c r="AH6" s="19"/>
      <c r="AI6" s="28"/>
      <c r="AJ6" s="26"/>
      <c r="AK6" s="29"/>
      <c r="AO6" s="289" t="s">
        <v>73</v>
      </c>
      <c r="AP6" s="290"/>
      <c r="AQ6" s="290"/>
      <c r="AR6" s="12"/>
      <c r="AS6" s="12"/>
      <c r="AT6" s="12"/>
      <c r="AU6" s="12"/>
      <c r="AV6" s="12"/>
      <c r="AW6" s="12"/>
      <c r="AX6" s="12"/>
    </row>
    <row r="7" spans="1:50" s="20" customFormat="1" ht="18.75" customHeight="1">
      <c r="E7" s="54">
        <v>2</v>
      </c>
      <c r="F7" s="306"/>
      <c r="G7" s="307"/>
      <c r="H7" s="307"/>
      <c r="I7" s="307"/>
      <c r="J7" s="307"/>
      <c r="K7" s="307"/>
      <c r="V7" s="31"/>
      <c r="W7" s="31"/>
      <c r="X7" s="31"/>
      <c r="Y7" s="31"/>
      <c r="AI7" s="30"/>
      <c r="AJ7" s="30"/>
      <c r="AK7" s="32"/>
      <c r="AO7" s="291"/>
      <c r="AP7" s="292"/>
      <c r="AQ7" s="292"/>
      <c r="AR7" s="292"/>
      <c r="AS7" s="292"/>
      <c r="AT7" s="292"/>
      <c r="AU7" s="292"/>
      <c r="AV7" s="292"/>
      <c r="AW7" s="292"/>
      <c r="AX7" s="293"/>
    </row>
    <row r="8" spans="1:50" s="20" customFormat="1" ht="18.75" customHeight="1">
      <c r="E8" s="54">
        <v>3</v>
      </c>
      <c r="F8" s="306"/>
      <c r="G8" s="307"/>
      <c r="H8" s="307"/>
      <c r="I8" s="307"/>
      <c r="J8" s="307"/>
      <c r="K8" s="307"/>
      <c r="V8" s="31"/>
      <c r="W8" s="31"/>
      <c r="X8" s="31"/>
      <c r="Y8" s="31"/>
      <c r="AK8" s="33"/>
      <c r="AO8" s="299" t="s">
        <v>46</v>
      </c>
      <c r="AP8" s="300"/>
      <c r="AQ8" s="300"/>
      <c r="AR8" s="301"/>
      <c r="AS8" s="13" t="s">
        <v>75</v>
      </c>
      <c r="AT8" s="247" t="s">
        <v>85</v>
      </c>
      <c r="AU8" s="247"/>
      <c r="AV8" s="247"/>
      <c r="AW8" s="247"/>
      <c r="AX8" s="247"/>
    </row>
    <row r="9" spans="1:50">
      <c r="E9" s="54">
        <v>4</v>
      </c>
      <c r="F9" s="306"/>
      <c r="G9" s="307"/>
      <c r="H9" s="307"/>
      <c r="I9" s="307"/>
      <c r="J9" s="307"/>
      <c r="K9" s="307"/>
      <c r="AK9" s="22"/>
      <c r="AO9" s="296" t="s">
        <v>47</v>
      </c>
      <c r="AP9" s="296"/>
      <c r="AQ9" s="296"/>
      <c r="AR9" s="296"/>
      <c r="AS9" s="15" t="s">
        <v>75</v>
      </c>
      <c r="AT9" s="247" t="s">
        <v>86</v>
      </c>
      <c r="AU9" s="247"/>
      <c r="AV9" s="247"/>
      <c r="AW9" s="247"/>
      <c r="AX9" s="247"/>
    </row>
    <row r="10" spans="1:50">
      <c r="E10" s="54">
        <v>5</v>
      </c>
      <c r="F10" s="306"/>
      <c r="G10" s="307"/>
      <c r="H10" s="307"/>
      <c r="I10" s="307"/>
      <c r="J10" s="307"/>
      <c r="K10" s="307"/>
      <c r="AK10" s="22"/>
      <c r="AO10" s="297" t="s">
        <v>74</v>
      </c>
      <c r="AP10" s="297"/>
      <c r="AQ10" s="297"/>
      <c r="AR10" s="297"/>
      <c r="AS10" s="15" t="s">
        <v>75</v>
      </c>
      <c r="AT10" s="247" t="s">
        <v>87</v>
      </c>
      <c r="AU10" s="247"/>
      <c r="AV10" s="247"/>
      <c r="AW10" s="247"/>
      <c r="AX10" s="247"/>
    </row>
    <row r="11" spans="1:50">
      <c r="E11" s="54">
        <v>6</v>
      </c>
      <c r="F11" s="306"/>
      <c r="G11" s="307"/>
      <c r="H11" s="307"/>
      <c r="I11" s="307"/>
      <c r="J11" s="307"/>
      <c r="K11" s="307"/>
      <c r="AK11" s="22"/>
      <c r="AO11" s="308" t="s">
        <v>88</v>
      </c>
      <c r="AP11" s="308"/>
      <c r="AQ11" s="308"/>
      <c r="AR11" s="308"/>
      <c r="AS11" s="13" t="s">
        <v>89</v>
      </c>
      <c r="AT11" s="247" t="s">
        <v>90</v>
      </c>
      <c r="AU11" s="247"/>
      <c r="AV11" s="247"/>
      <c r="AW11" s="247"/>
      <c r="AX11" s="247"/>
    </row>
    <row r="12" spans="1:50" ht="18" thickBot="1">
      <c r="E12" s="54">
        <v>7</v>
      </c>
      <c r="F12" s="21"/>
      <c r="AK12" s="22"/>
    </row>
    <row r="13" spans="1:50">
      <c r="E13" s="54">
        <v>8</v>
      </c>
      <c r="F13" s="21"/>
      <c r="G13" s="162"/>
      <c r="H13" s="163"/>
      <c r="I13" s="163"/>
      <c r="J13" s="163"/>
      <c r="K13" s="163"/>
      <c r="L13" s="163"/>
      <c r="M13" s="163"/>
      <c r="N13" s="163"/>
      <c r="O13" s="164"/>
      <c r="Q13" s="171"/>
      <c r="R13" s="172"/>
      <c r="S13" s="172"/>
      <c r="T13" s="172"/>
      <c r="U13" s="172"/>
      <c r="V13" s="172"/>
      <c r="W13" s="172"/>
      <c r="X13" s="172"/>
      <c r="Y13" s="173"/>
      <c r="AA13" s="178"/>
      <c r="AB13" s="179"/>
      <c r="AC13" s="179"/>
      <c r="AD13" s="179"/>
      <c r="AE13" s="179"/>
      <c r="AF13" s="179"/>
      <c r="AG13" s="179"/>
      <c r="AH13" s="179"/>
      <c r="AI13" s="180"/>
      <c r="AK13" s="22"/>
    </row>
    <row r="14" spans="1:50">
      <c r="E14" s="54">
        <v>9</v>
      </c>
      <c r="F14" s="21"/>
      <c r="G14" s="143"/>
      <c r="H14" s="144"/>
      <c r="I14" s="144"/>
      <c r="J14" s="144"/>
      <c r="K14" s="144"/>
      <c r="L14" s="144"/>
      <c r="M14" s="144"/>
      <c r="N14" s="144"/>
      <c r="O14" s="150"/>
      <c r="Q14" s="167"/>
      <c r="R14" s="168"/>
      <c r="S14" s="168"/>
      <c r="T14" s="168"/>
      <c r="U14" s="168"/>
      <c r="V14" s="168"/>
      <c r="W14" s="168"/>
      <c r="X14" s="168"/>
      <c r="Y14" s="170"/>
      <c r="AA14" s="175"/>
      <c r="AB14" s="169"/>
      <c r="AC14" s="176"/>
      <c r="AD14" s="169"/>
      <c r="AE14" s="169"/>
      <c r="AF14" s="176"/>
      <c r="AG14" s="169"/>
      <c r="AH14" s="169"/>
      <c r="AI14" s="177"/>
      <c r="AK14" s="22"/>
    </row>
    <row r="15" spans="1:50">
      <c r="E15" s="54">
        <v>10</v>
      </c>
      <c r="F15" s="21"/>
      <c r="G15" s="143"/>
      <c r="H15" s="144"/>
      <c r="I15" s="144"/>
      <c r="J15" s="144"/>
      <c r="K15" s="144"/>
      <c r="L15" s="144"/>
      <c r="M15" s="144"/>
      <c r="N15" s="144"/>
      <c r="O15" s="150"/>
      <c r="Q15" s="167"/>
      <c r="R15" s="168"/>
      <c r="S15" s="168"/>
      <c r="T15" s="168"/>
      <c r="U15" s="168"/>
      <c r="V15" s="168"/>
      <c r="W15" s="168"/>
      <c r="X15" s="168"/>
      <c r="Y15" s="170"/>
      <c r="AA15" s="175"/>
      <c r="AB15" s="169"/>
      <c r="AC15" s="176"/>
      <c r="AD15" s="169"/>
      <c r="AE15" s="169"/>
      <c r="AF15" s="176"/>
      <c r="AG15" s="169"/>
      <c r="AH15" s="169"/>
      <c r="AI15" s="177"/>
      <c r="AK15" s="22"/>
    </row>
    <row r="16" spans="1:50">
      <c r="E16" s="54">
        <v>11</v>
      </c>
      <c r="F16" s="21"/>
      <c r="G16" s="143"/>
      <c r="H16" s="144"/>
      <c r="I16" s="144"/>
      <c r="J16" s="144"/>
      <c r="K16" s="144"/>
      <c r="L16" s="144"/>
      <c r="M16" s="144"/>
      <c r="N16" s="144"/>
      <c r="O16" s="165"/>
      <c r="Q16" s="167"/>
      <c r="R16" s="169"/>
      <c r="S16" s="169"/>
      <c r="T16" s="168"/>
      <c r="U16" s="169"/>
      <c r="V16" s="169"/>
      <c r="W16" s="168"/>
      <c r="X16" s="168"/>
      <c r="Y16" s="170"/>
      <c r="AA16" s="181"/>
      <c r="AB16" s="176"/>
      <c r="AC16" s="176"/>
      <c r="AD16" s="176"/>
      <c r="AE16" s="176"/>
      <c r="AF16" s="176"/>
      <c r="AG16" s="176"/>
      <c r="AH16" s="176"/>
      <c r="AI16" s="177"/>
      <c r="AK16" s="22"/>
    </row>
    <row r="17" spans="5:37">
      <c r="E17" s="54">
        <v>12</v>
      </c>
      <c r="F17" s="21"/>
      <c r="G17" s="143"/>
      <c r="H17" s="145"/>
      <c r="I17" s="145"/>
      <c r="J17" s="144"/>
      <c r="K17" s="144"/>
      <c r="L17" s="144"/>
      <c r="M17" s="144"/>
      <c r="N17" s="144"/>
      <c r="O17" s="150"/>
      <c r="Q17" s="167"/>
      <c r="R17" s="169"/>
      <c r="S17" s="169"/>
      <c r="T17" s="168"/>
      <c r="U17" s="169"/>
      <c r="V17" s="169"/>
      <c r="W17" s="168"/>
      <c r="X17" s="174"/>
      <c r="Y17" s="170"/>
      <c r="AA17" s="143"/>
      <c r="AB17" s="144"/>
      <c r="AC17" s="144"/>
      <c r="AD17" s="144"/>
      <c r="AE17" s="144"/>
      <c r="AF17" s="144"/>
      <c r="AG17" s="144"/>
      <c r="AH17" s="144"/>
      <c r="AI17" s="150"/>
      <c r="AK17" s="22"/>
    </row>
    <row r="18" spans="5:37">
      <c r="E18" s="54">
        <v>13</v>
      </c>
      <c r="F18" s="21"/>
      <c r="G18" s="143"/>
      <c r="H18" s="145"/>
      <c r="I18" s="145"/>
      <c r="J18" s="144"/>
      <c r="K18" s="144"/>
      <c r="L18" s="156"/>
      <c r="M18" s="156"/>
      <c r="N18" s="144"/>
      <c r="O18" s="150"/>
      <c r="Q18" s="167"/>
      <c r="R18" s="168"/>
      <c r="S18" s="168"/>
      <c r="T18" s="168"/>
      <c r="U18" s="168"/>
      <c r="V18" s="168"/>
      <c r="W18" s="168"/>
      <c r="X18" s="174"/>
      <c r="Y18" s="170"/>
      <c r="AA18" s="182"/>
      <c r="AB18" s="184"/>
      <c r="AC18" s="144"/>
      <c r="AD18" s="144"/>
      <c r="AE18" s="131"/>
      <c r="AF18" s="184"/>
      <c r="AG18" s="144"/>
      <c r="AH18" s="144"/>
      <c r="AI18" s="183"/>
      <c r="AK18" s="22"/>
    </row>
    <row r="19" spans="5:37" ht="17.649999999999999" customHeight="1" thickBot="1">
      <c r="E19" s="54">
        <v>14</v>
      </c>
      <c r="F19" s="21"/>
      <c r="G19" s="158"/>
      <c r="H19" s="159"/>
      <c r="I19" s="159"/>
      <c r="J19" s="160"/>
      <c r="K19" s="159"/>
      <c r="L19" s="159"/>
      <c r="M19" s="159"/>
      <c r="N19" s="159"/>
      <c r="O19" s="161"/>
      <c r="Q19" s="158"/>
      <c r="R19" s="159"/>
      <c r="S19" s="159"/>
      <c r="T19" s="159"/>
      <c r="U19" s="159"/>
      <c r="V19" s="159"/>
      <c r="W19" s="159"/>
      <c r="X19" s="159"/>
      <c r="Y19" s="166"/>
      <c r="AA19" s="158"/>
      <c r="AB19" s="159"/>
      <c r="AC19" s="159"/>
      <c r="AD19" s="159"/>
      <c r="AE19" s="159"/>
      <c r="AF19" s="159"/>
      <c r="AG19" s="159"/>
      <c r="AH19" s="159"/>
      <c r="AI19" s="161"/>
      <c r="AK19" s="22"/>
    </row>
    <row r="20" spans="5:37">
      <c r="E20" s="54">
        <v>15</v>
      </c>
      <c r="F20" s="21"/>
      <c r="H20" s="309" t="s">
        <v>94</v>
      </c>
      <c r="I20" s="310"/>
      <c r="J20" s="310"/>
      <c r="K20" s="310"/>
      <c r="L20" s="310"/>
      <c r="M20" s="310"/>
      <c r="N20" s="310"/>
      <c r="R20" s="309" t="s">
        <v>95</v>
      </c>
      <c r="S20" s="310"/>
      <c r="T20" s="310"/>
      <c r="U20" s="310"/>
      <c r="V20" s="310"/>
      <c r="W20" s="310"/>
      <c r="X20" s="310"/>
      <c r="AB20" s="309" t="s">
        <v>96</v>
      </c>
      <c r="AC20" s="310"/>
      <c r="AD20" s="310"/>
      <c r="AE20" s="310"/>
      <c r="AF20" s="310"/>
      <c r="AG20" s="310"/>
      <c r="AH20" s="310"/>
      <c r="AK20" s="22"/>
    </row>
    <row r="21" spans="5:37" ht="17.649999999999999" customHeight="1">
      <c r="E21" s="54">
        <v>16</v>
      </c>
      <c r="F21" s="21"/>
      <c r="H21" s="311"/>
      <c r="I21" s="311"/>
      <c r="J21" s="311"/>
      <c r="K21" s="311"/>
      <c r="L21" s="311"/>
      <c r="M21" s="311"/>
      <c r="N21" s="311"/>
      <c r="O21" s="157"/>
      <c r="P21" s="157"/>
      <c r="Q21" s="157"/>
      <c r="R21" s="311"/>
      <c r="S21" s="311"/>
      <c r="T21" s="311"/>
      <c r="U21" s="311"/>
      <c r="V21" s="311"/>
      <c r="W21" s="311"/>
      <c r="X21" s="311"/>
      <c r="Y21" s="157"/>
      <c r="Z21" s="157"/>
      <c r="AA21" s="157"/>
      <c r="AB21" s="311"/>
      <c r="AC21" s="311"/>
      <c r="AD21" s="311"/>
      <c r="AE21" s="311"/>
      <c r="AF21" s="311"/>
      <c r="AG21" s="311"/>
      <c r="AH21" s="311"/>
      <c r="AK21" s="22"/>
    </row>
    <row r="22" spans="5:37" ht="17.649999999999999" customHeight="1">
      <c r="E22" s="54">
        <v>17</v>
      </c>
      <c r="F22" s="21"/>
      <c r="K22" s="157"/>
      <c r="L22" s="157"/>
      <c r="M22" s="157"/>
      <c r="N22" s="157"/>
      <c r="O22" s="157"/>
      <c r="P22" s="157"/>
      <c r="Q22" s="157"/>
      <c r="R22" s="157"/>
      <c r="S22" s="157"/>
      <c r="X22" s="157"/>
      <c r="Y22" s="157"/>
      <c r="Z22" s="157"/>
      <c r="AA22" s="157"/>
      <c r="AB22" s="157"/>
      <c r="AC22" s="157"/>
      <c r="AD22" s="157"/>
      <c r="AE22" s="157"/>
      <c r="AF22" s="157"/>
      <c r="AK22" s="22"/>
    </row>
    <row r="23" spans="5:37" ht="18" thickBot="1">
      <c r="E23" s="54">
        <v>18</v>
      </c>
      <c r="F23" s="2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5"/>
    </row>
  </sheetData>
  <mergeCells count="15">
    <mergeCell ref="H20:N21"/>
    <mergeCell ref="R20:X21"/>
    <mergeCell ref="AB20:AH21"/>
    <mergeCell ref="C1:H1"/>
    <mergeCell ref="F6:K11"/>
    <mergeCell ref="AO10:AR10"/>
    <mergeCell ref="AT10:AX10"/>
    <mergeCell ref="AO11:AR11"/>
    <mergeCell ref="AT11:AX11"/>
    <mergeCell ref="AO6:AQ6"/>
    <mergeCell ref="AO7:AX7"/>
    <mergeCell ref="AO8:AR8"/>
    <mergeCell ref="AT8:AX8"/>
    <mergeCell ref="AO9:AR9"/>
    <mergeCell ref="AT9:AX9"/>
  </mergeCells>
  <phoneticPr fontId="4"/>
  <hyperlinks>
    <hyperlink ref="A1" location="目次!A1" display="◀" xr:uid="{CB9FB2DC-0D33-47A3-BBAB-44DB1F06014D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BFAB-24B1-4289-95D8-73F5EEB9A37D}">
  <dimension ref="A1:AX23"/>
  <sheetViews>
    <sheetView topLeftCell="C4" zoomScale="87" zoomScaleNormal="87" workbookViewId="0">
      <selection activeCell="AS16" sqref="AS16:AT16"/>
    </sheetView>
  </sheetViews>
  <sheetFormatPr defaultColWidth="3.125" defaultRowHeight="17.649999999999999"/>
  <cols>
    <col min="1" max="17" width="3.125" style="12"/>
    <col min="18" max="18" width="3.125" style="12" customWidth="1"/>
    <col min="19" max="16384" width="3.125" style="12"/>
  </cols>
  <sheetData>
    <row r="1" spans="1:50" s="88" customFormat="1">
      <c r="A1" s="99" t="s">
        <v>32</v>
      </c>
      <c r="C1" s="234" t="s">
        <v>32</v>
      </c>
      <c r="E1" s="298" t="s">
        <v>97</v>
      </c>
      <c r="F1" s="298"/>
      <c r="G1" s="298"/>
      <c r="H1" s="298"/>
      <c r="I1" s="298"/>
    </row>
    <row r="5" spans="1:50" ht="18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  <c r="R5">
        <v>13</v>
      </c>
      <c r="S5">
        <v>14</v>
      </c>
      <c r="T5">
        <v>15</v>
      </c>
      <c r="U5">
        <v>16</v>
      </c>
      <c r="V5">
        <v>17</v>
      </c>
      <c r="W5">
        <v>18</v>
      </c>
      <c r="X5">
        <v>19</v>
      </c>
      <c r="Y5">
        <v>20</v>
      </c>
      <c r="Z5">
        <v>21</v>
      </c>
      <c r="AA5">
        <v>22</v>
      </c>
      <c r="AB5">
        <v>23</v>
      </c>
      <c r="AC5">
        <v>24</v>
      </c>
      <c r="AD5">
        <v>25</v>
      </c>
      <c r="AE5">
        <v>26</v>
      </c>
      <c r="AF5">
        <v>27</v>
      </c>
      <c r="AG5">
        <v>28</v>
      </c>
      <c r="AH5">
        <v>29</v>
      </c>
      <c r="AI5">
        <v>30</v>
      </c>
      <c r="AJ5">
        <v>31</v>
      </c>
      <c r="AK5">
        <v>32</v>
      </c>
    </row>
    <row r="6" spans="1:50" s="20" customFormat="1" ht="18.75" customHeight="1">
      <c r="E6" s="54">
        <v>1</v>
      </c>
      <c r="F6" s="302" t="s">
        <v>84</v>
      </c>
      <c r="G6" s="312"/>
      <c r="H6" s="312"/>
      <c r="I6" s="312"/>
      <c r="J6" s="312"/>
      <c r="K6" s="312"/>
      <c r="L6" s="19"/>
      <c r="M6" s="19"/>
      <c r="N6" s="19"/>
      <c r="O6" s="19"/>
      <c r="P6" s="19"/>
      <c r="Q6" s="19"/>
      <c r="R6" s="19"/>
      <c r="S6" s="19"/>
      <c r="T6" s="19"/>
      <c r="U6" s="19"/>
      <c r="V6" s="27"/>
      <c r="W6" s="27"/>
      <c r="X6" s="27"/>
      <c r="Y6" s="27"/>
      <c r="Z6" s="19"/>
      <c r="AA6" s="19"/>
      <c r="AB6" s="19"/>
      <c r="AC6" s="19"/>
      <c r="AD6" s="19"/>
      <c r="AE6" s="19"/>
      <c r="AF6" s="19"/>
      <c r="AG6" s="19"/>
      <c r="AH6" s="19"/>
      <c r="AI6" s="28"/>
      <c r="AJ6" s="26"/>
      <c r="AK6" s="29"/>
      <c r="AO6" s="289" t="s">
        <v>73</v>
      </c>
      <c r="AP6" s="290"/>
      <c r="AQ6" s="290"/>
      <c r="AR6" s="12"/>
      <c r="AS6" s="12"/>
      <c r="AT6" s="12"/>
      <c r="AU6" s="12"/>
      <c r="AV6" s="12"/>
      <c r="AW6" s="12"/>
      <c r="AX6" s="12"/>
    </row>
    <row r="7" spans="1:50" s="20" customFormat="1" ht="18.75" customHeight="1">
      <c r="E7" s="54">
        <v>2</v>
      </c>
      <c r="F7" s="306"/>
      <c r="G7" s="307"/>
      <c r="H7" s="307"/>
      <c r="I7" s="307"/>
      <c r="J7" s="307"/>
      <c r="K7" s="307"/>
      <c r="M7" s="194"/>
      <c r="N7" s="195"/>
      <c r="O7" s="195"/>
      <c r="P7" s="195"/>
      <c r="Q7" s="195"/>
      <c r="R7" s="203"/>
      <c r="S7" s="203"/>
      <c r="T7" s="203"/>
      <c r="U7" s="204"/>
      <c r="V7" s="31"/>
      <c r="W7" s="31"/>
      <c r="X7" s="205"/>
      <c r="Y7" s="206"/>
      <c r="Z7" s="195"/>
      <c r="AA7" s="195"/>
      <c r="AB7" s="195"/>
      <c r="AC7" s="216"/>
      <c r="AD7" s="216"/>
      <c r="AE7" s="216"/>
      <c r="AF7" s="218"/>
      <c r="AI7" s="30"/>
      <c r="AJ7" s="30"/>
      <c r="AK7" s="32"/>
      <c r="AO7" s="291"/>
      <c r="AP7" s="292"/>
      <c r="AQ7" s="292"/>
      <c r="AR7" s="292"/>
      <c r="AS7" s="292"/>
      <c r="AT7" s="292"/>
      <c r="AU7" s="292"/>
      <c r="AV7" s="292"/>
      <c r="AW7" s="292"/>
      <c r="AX7" s="293"/>
    </row>
    <row r="8" spans="1:50" s="20" customFormat="1" ht="18.75" customHeight="1">
      <c r="E8" s="54">
        <v>3</v>
      </c>
      <c r="F8" s="306"/>
      <c r="G8" s="307"/>
      <c r="H8" s="307"/>
      <c r="I8" s="307"/>
      <c r="J8" s="307"/>
      <c r="K8" s="307"/>
      <c r="M8" s="196"/>
      <c r="N8" s="197"/>
      <c r="O8" s="202"/>
      <c r="P8" s="197"/>
      <c r="Q8" s="202"/>
      <c r="R8" s="202"/>
      <c r="S8" s="193"/>
      <c r="T8" s="202"/>
      <c r="U8" s="192"/>
      <c r="V8" s="31"/>
      <c r="W8" s="31"/>
      <c r="X8" s="207"/>
      <c r="Y8" s="208"/>
      <c r="Z8" s="197"/>
      <c r="AA8" s="197"/>
      <c r="AB8" s="217"/>
      <c r="AC8" s="217"/>
      <c r="AD8" s="193"/>
      <c r="AE8" s="217"/>
      <c r="AF8" s="192"/>
      <c r="AK8" s="33"/>
      <c r="AO8" s="299" t="s">
        <v>46</v>
      </c>
      <c r="AP8" s="300"/>
      <c r="AQ8" s="300"/>
      <c r="AR8" s="301"/>
      <c r="AS8" s="13" t="s">
        <v>75</v>
      </c>
      <c r="AT8" s="247" t="s">
        <v>85</v>
      </c>
      <c r="AU8" s="247"/>
      <c r="AV8" s="247"/>
      <c r="AW8" s="247"/>
      <c r="AX8" s="247"/>
    </row>
    <row r="9" spans="1:50">
      <c r="E9" s="54">
        <v>4</v>
      </c>
      <c r="F9" s="306"/>
      <c r="G9" s="307"/>
      <c r="H9" s="307"/>
      <c r="I9" s="307"/>
      <c r="J9" s="307"/>
      <c r="K9" s="307"/>
      <c r="M9" s="198"/>
      <c r="N9" s="132"/>
      <c r="O9" s="132"/>
      <c r="P9" s="132"/>
      <c r="Q9" s="132"/>
      <c r="R9" s="201"/>
      <c r="S9" s="201"/>
      <c r="T9" s="145"/>
      <c r="U9" s="189"/>
      <c r="X9" s="198"/>
      <c r="Y9" s="132"/>
      <c r="Z9" s="132"/>
      <c r="AA9" s="132"/>
      <c r="AB9" s="132"/>
      <c r="AC9" s="133"/>
      <c r="AD9" s="133"/>
      <c r="AE9" s="145"/>
      <c r="AF9" s="189"/>
      <c r="AK9" s="22"/>
      <c r="AO9" s="296" t="s">
        <v>47</v>
      </c>
      <c r="AP9" s="296"/>
      <c r="AQ9" s="296"/>
      <c r="AR9" s="296"/>
      <c r="AS9" s="15" t="s">
        <v>75</v>
      </c>
      <c r="AT9" s="247" t="s">
        <v>86</v>
      </c>
      <c r="AU9" s="247"/>
      <c r="AV9" s="247"/>
      <c r="AW9" s="247"/>
      <c r="AX9" s="247"/>
    </row>
    <row r="10" spans="1:50">
      <c r="E10" s="54">
        <v>5</v>
      </c>
      <c r="F10" s="306"/>
      <c r="G10" s="307"/>
      <c r="H10" s="307"/>
      <c r="I10" s="307"/>
      <c r="J10" s="307"/>
      <c r="K10" s="307"/>
      <c r="M10" s="198"/>
      <c r="N10" s="201"/>
      <c r="O10" s="132"/>
      <c r="P10" s="132"/>
      <c r="Q10" s="132"/>
      <c r="R10" s="132"/>
      <c r="S10" s="201"/>
      <c r="T10" s="201"/>
      <c r="U10" s="189"/>
      <c r="X10" s="198"/>
      <c r="Y10" s="132"/>
      <c r="Z10" s="132"/>
      <c r="AA10" s="132"/>
      <c r="AB10" s="132"/>
      <c r="AC10" s="132"/>
      <c r="AD10" s="133"/>
      <c r="AE10" s="133"/>
      <c r="AF10" s="189"/>
      <c r="AK10" s="22"/>
      <c r="AO10" s="297" t="s">
        <v>74</v>
      </c>
      <c r="AP10" s="297"/>
      <c r="AQ10" s="297"/>
      <c r="AR10" s="297"/>
      <c r="AS10" s="15" t="s">
        <v>75</v>
      </c>
      <c r="AT10" s="247" t="s">
        <v>87</v>
      </c>
      <c r="AU10" s="247"/>
      <c r="AV10" s="247"/>
      <c r="AW10" s="247"/>
      <c r="AX10" s="247"/>
    </row>
    <row r="11" spans="1:50">
      <c r="E11" s="54">
        <v>6</v>
      </c>
      <c r="F11" s="306"/>
      <c r="G11" s="307"/>
      <c r="H11" s="307"/>
      <c r="I11" s="307"/>
      <c r="J11" s="307"/>
      <c r="K11" s="307"/>
      <c r="M11" s="198"/>
      <c r="N11" s="132"/>
      <c r="O11" s="132"/>
      <c r="P11" s="201"/>
      <c r="Q11" s="132"/>
      <c r="R11" s="132"/>
      <c r="S11" s="132"/>
      <c r="T11" s="145"/>
      <c r="U11" s="189"/>
      <c r="X11" s="198"/>
      <c r="Y11" s="133"/>
      <c r="Z11" s="133"/>
      <c r="AA11" s="133"/>
      <c r="AB11" s="132"/>
      <c r="AC11" s="132"/>
      <c r="AD11" s="132"/>
      <c r="AE11" s="145"/>
      <c r="AF11" s="189"/>
      <c r="AK11" s="22"/>
      <c r="AO11" s="308" t="s">
        <v>98</v>
      </c>
      <c r="AP11" s="308"/>
      <c r="AQ11" s="308"/>
      <c r="AR11" s="308"/>
      <c r="AS11" s="13" t="s">
        <v>89</v>
      </c>
      <c r="AT11" s="247" t="s">
        <v>90</v>
      </c>
      <c r="AU11" s="247"/>
      <c r="AV11" s="247"/>
      <c r="AW11" s="247"/>
      <c r="AX11" s="247"/>
    </row>
    <row r="12" spans="1:50">
      <c r="E12" s="54">
        <v>7</v>
      </c>
      <c r="F12" s="21"/>
      <c r="M12" s="199"/>
      <c r="N12" s="200"/>
      <c r="O12" s="200"/>
      <c r="P12" s="200"/>
      <c r="Q12" s="200"/>
      <c r="R12" s="200"/>
      <c r="S12" s="191"/>
      <c r="T12" s="191"/>
      <c r="U12" s="190"/>
      <c r="X12" s="219"/>
      <c r="Y12" s="220"/>
      <c r="Z12" s="220"/>
      <c r="AA12" s="220"/>
      <c r="AB12" s="200"/>
      <c r="AC12" s="200"/>
      <c r="AD12" s="191"/>
      <c r="AE12" s="191"/>
      <c r="AF12" s="190"/>
      <c r="AK12" s="22"/>
    </row>
    <row r="13" spans="1:50">
      <c r="E13" s="54">
        <v>8</v>
      </c>
      <c r="F13" s="21"/>
      <c r="N13" s="313" t="s">
        <v>99</v>
      </c>
      <c r="O13" s="314"/>
      <c r="P13" s="314"/>
      <c r="Q13" s="314"/>
      <c r="R13" s="314"/>
      <c r="S13" s="314"/>
      <c r="T13" s="314"/>
      <c r="Y13" s="313" t="s">
        <v>100</v>
      </c>
      <c r="Z13" s="314"/>
      <c r="AA13" s="314"/>
      <c r="AB13" s="314"/>
      <c r="AC13" s="314"/>
      <c r="AD13" s="314"/>
      <c r="AE13" s="314"/>
      <c r="AK13" s="22"/>
    </row>
    <row r="14" spans="1:50">
      <c r="E14" s="54">
        <v>9</v>
      </c>
      <c r="F14" s="21"/>
      <c r="N14" s="315"/>
      <c r="O14" s="315"/>
      <c r="P14" s="315"/>
      <c r="Q14" s="315"/>
      <c r="R14" s="315"/>
      <c r="S14" s="315"/>
      <c r="T14" s="315"/>
      <c r="Y14" s="315"/>
      <c r="Z14" s="315"/>
      <c r="AA14" s="315"/>
      <c r="AB14" s="315"/>
      <c r="AC14" s="315"/>
      <c r="AD14" s="315"/>
      <c r="AE14" s="315"/>
      <c r="AK14" s="22"/>
    </row>
    <row r="15" spans="1:50">
      <c r="E15" s="54">
        <v>10</v>
      </c>
      <c r="F15" s="21"/>
      <c r="M15" s="209"/>
      <c r="N15" s="210"/>
      <c r="O15" s="231"/>
      <c r="P15" s="210"/>
      <c r="Q15" s="210"/>
      <c r="R15" s="231"/>
      <c r="S15" s="231"/>
      <c r="T15" s="231"/>
      <c r="U15" s="233"/>
      <c r="X15" s="209"/>
      <c r="Y15" s="210"/>
      <c r="Z15" s="210"/>
      <c r="AA15" s="225"/>
      <c r="AB15" s="210"/>
      <c r="AC15" s="210"/>
      <c r="AD15" s="225"/>
      <c r="AE15" s="225"/>
      <c r="AF15" s="226"/>
      <c r="AK15" s="22"/>
    </row>
    <row r="16" spans="1:50">
      <c r="E16" s="54">
        <v>11</v>
      </c>
      <c r="F16" s="21"/>
      <c r="M16" s="198"/>
      <c r="N16" s="132"/>
      <c r="O16" s="132"/>
      <c r="P16" s="132"/>
      <c r="Q16" s="232"/>
      <c r="R16" s="232"/>
      <c r="S16" s="145"/>
      <c r="T16" s="228"/>
      <c r="U16" s="189"/>
      <c r="X16" s="227"/>
      <c r="Y16" s="132"/>
      <c r="Z16" s="131"/>
      <c r="AA16" s="132"/>
      <c r="AB16" s="132"/>
      <c r="AC16" s="132"/>
      <c r="AD16" s="145"/>
      <c r="AE16" s="131"/>
      <c r="AF16" s="189"/>
      <c r="AK16" s="22"/>
    </row>
    <row r="17" spans="5:37">
      <c r="E17" s="54">
        <v>12</v>
      </c>
      <c r="F17" s="21"/>
      <c r="M17" s="198"/>
      <c r="N17" s="232"/>
      <c r="O17" s="132"/>
      <c r="P17" s="132"/>
      <c r="Q17" s="132"/>
      <c r="R17" s="232"/>
      <c r="S17" s="232"/>
      <c r="T17" s="145"/>
      <c r="U17" s="189"/>
      <c r="X17" s="198"/>
      <c r="Y17" s="132"/>
      <c r="Z17" s="132"/>
      <c r="AA17" s="132"/>
      <c r="AB17" s="132"/>
      <c r="AC17" s="132"/>
      <c r="AD17" s="132"/>
      <c r="AE17" s="145"/>
      <c r="AF17" s="189"/>
      <c r="AK17" s="22"/>
    </row>
    <row r="18" spans="5:37">
      <c r="E18" s="54">
        <v>13</v>
      </c>
      <c r="F18" s="21"/>
      <c r="M18" s="198"/>
      <c r="N18" s="228"/>
      <c r="O18" s="132"/>
      <c r="P18" s="232"/>
      <c r="Q18" s="132"/>
      <c r="R18" s="132"/>
      <c r="S18" s="228"/>
      <c r="T18" s="228"/>
      <c r="U18" s="189"/>
      <c r="X18" s="198"/>
      <c r="Y18" s="131"/>
      <c r="Z18" s="132"/>
      <c r="AA18" s="132"/>
      <c r="AB18" s="131"/>
      <c r="AC18" s="132"/>
      <c r="AD18" s="132"/>
      <c r="AE18" s="132"/>
      <c r="AF18" s="189"/>
      <c r="AK18" s="22"/>
    </row>
    <row r="19" spans="5:37" ht="17.649999999999999" customHeight="1">
      <c r="E19" s="54">
        <v>14</v>
      </c>
      <c r="F19" s="21"/>
      <c r="J19" s="187"/>
      <c r="M19" s="229"/>
      <c r="N19" s="132"/>
      <c r="O19" s="132"/>
      <c r="P19" s="132"/>
      <c r="Q19" s="132"/>
      <c r="R19" s="132"/>
      <c r="S19" s="132"/>
      <c r="T19" s="145"/>
      <c r="U19" s="189"/>
      <c r="X19" s="198"/>
      <c r="Y19" s="155"/>
      <c r="Z19" s="132"/>
      <c r="AA19" s="132"/>
      <c r="AB19" s="132"/>
      <c r="AC19" s="132"/>
      <c r="AD19" s="132"/>
      <c r="AE19" s="145"/>
      <c r="AF19" s="189"/>
      <c r="AK19" s="22"/>
    </row>
    <row r="20" spans="5:37" ht="17.649999999999999" customHeight="1">
      <c r="E20" s="54">
        <v>15</v>
      </c>
      <c r="F20" s="21"/>
      <c r="H20" s="188"/>
      <c r="I20" s="186"/>
      <c r="J20" s="186"/>
      <c r="K20" s="186"/>
      <c r="L20" s="186"/>
      <c r="M20" s="211"/>
      <c r="N20" s="212"/>
      <c r="O20" s="230"/>
      <c r="P20" s="230"/>
      <c r="Q20" s="200"/>
      <c r="R20" s="213"/>
      <c r="S20" s="215"/>
      <c r="T20" s="215"/>
      <c r="U20" s="214"/>
      <c r="V20" s="186"/>
      <c r="W20" s="186"/>
      <c r="X20" s="221"/>
      <c r="Y20" s="222"/>
      <c r="Z20" s="222"/>
      <c r="AA20" s="222"/>
      <c r="AB20" s="223"/>
      <c r="AC20" s="224"/>
      <c r="AD20" s="215"/>
      <c r="AE20" s="215"/>
      <c r="AF20" s="214"/>
      <c r="AG20" s="186"/>
      <c r="AH20" s="186"/>
      <c r="AK20" s="22"/>
    </row>
    <row r="21" spans="5:37" ht="17.649999999999999" customHeight="1">
      <c r="E21" s="54">
        <v>16</v>
      </c>
      <c r="F21" s="21"/>
      <c r="H21" s="186"/>
      <c r="I21" s="186"/>
      <c r="J21" s="186"/>
      <c r="K21" s="186"/>
      <c r="L21" s="186"/>
      <c r="M21" s="186"/>
      <c r="N21" s="316" t="s">
        <v>101</v>
      </c>
      <c r="O21" s="317"/>
      <c r="P21" s="317"/>
      <c r="Q21" s="317"/>
      <c r="R21" s="317"/>
      <c r="S21" s="317"/>
      <c r="T21" s="317"/>
      <c r="U21" s="186"/>
      <c r="V21" s="186"/>
      <c r="W21" s="186"/>
      <c r="X21" s="186"/>
      <c r="Y21" s="316" t="s">
        <v>102</v>
      </c>
      <c r="Z21" s="318"/>
      <c r="AA21" s="318"/>
      <c r="AB21" s="318"/>
      <c r="AC21" s="318"/>
      <c r="AD21" s="318"/>
      <c r="AE21" s="318"/>
      <c r="AF21" s="186"/>
      <c r="AG21" s="186"/>
      <c r="AH21" s="186"/>
      <c r="AK21" s="22"/>
    </row>
    <row r="22" spans="5:37" ht="17.649999999999999" customHeight="1">
      <c r="E22" s="54">
        <v>17</v>
      </c>
      <c r="F22" s="21"/>
      <c r="K22" s="157"/>
      <c r="L22" s="157"/>
      <c r="M22" s="157"/>
      <c r="N22" s="311"/>
      <c r="O22" s="311"/>
      <c r="P22" s="311"/>
      <c r="Q22" s="311"/>
      <c r="R22" s="311"/>
      <c r="S22" s="311"/>
      <c r="T22" s="311"/>
      <c r="X22" s="157"/>
      <c r="Y22" s="295"/>
      <c r="Z22" s="295"/>
      <c r="AA22" s="295"/>
      <c r="AB22" s="295"/>
      <c r="AC22" s="295"/>
      <c r="AD22" s="295"/>
      <c r="AE22" s="295"/>
      <c r="AF22" s="157"/>
      <c r="AK22" s="22"/>
    </row>
    <row r="23" spans="5:37" ht="18" thickBot="1">
      <c r="E23" s="54">
        <v>18</v>
      </c>
      <c r="F23" s="2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5"/>
    </row>
  </sheetData>
  <mergeCells count="16">
    <mergeCell ref="N13:T14"/>
    <mergeCell ref="Y13:AE14"/>
    <mergeCell ref="N21:T22"/>
    <mergeCell ref="Y21:AE22"/>
    <mergeCell ref="E1:I1"/>
    <mergeCell ref="AO11:AR11"/>
    <mergeCell ref="AT11:AX11"/>
    <mergeCell ref="F6:K11"/>
    <mergeCell ref="AO6:AQ6"/>
    <mergeCell ref="AO7:AX7"/>
    <mergeCell ref="AO8:AR8"/>
    <mergeCell ref="AT8:AX8"/>
    <mergeCell ref="AO9:AR9"/>
    <mergeCell ref="AT9:AX9"/>
    <mergeCell ref="AO10:AR10"/>
    <mergeCell ref="AT10:AX10"/>
  </mergeCells>
  <phoneticPr fontId="4"/>
  <hyperlinks>
    <hyperlink ref="A1" location="目次!A1" display="◀" xr:uid="{2F0F02EC-0027-49C7-902A-526BE1E05D8A}"/>
    <hyperlink ref="C1" location="目次!A1" display="目次" xr:uid="{AF0C32E6-A424-4EEC-BD70-95B7A1A2F3A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topLeftCell="A15" zoomScale="74" zoomScaleNormal="74" workbookViewId="0">
      <selection activeCell="W9" sqref="W9"/>
    </sheetView>
  </sheetViews>
  <sheetFormatPr defaultColWidth="3.125" defaultRowHeight="17.649999999999999"/>
  <cols>
    <col min="1" max="1" width="5.25" style="12" bestFit="1" customWidth="1"/>
    <col min="2" max="16384" width="3.125" style="12"/>
  </cols>
  <sheetData>
    <row r="1" spans="1:69" s="88" customFormat="1">
      <c r="A1" s="99" t="s">
        <v>32</v>
      </c>
      <c r="C1" s="253" t="s">
        <v>103</v>
      </c>
      <c r="D1" s="253"/>
      <c r="E1" s="253"/>
      <c r="F1" s="253"/>
      <c r="G1" s="253"/>
      <c r="H1" s="253"/>
    </row>
    <row r="2" spans="1:69">
      <c r="C2" s="319" t="s">
        <v>104</v>
      </c>
      <c r="D2" s="319"/>
      <c r="E2" s="319"/>
      <c r="F2" s="319"/>
      <c r="G2" s="319"/>
      <c r="H2" s="319"/>
    </row>
    <row r="3" spans="1:69">
      <c r="J3" s="290" t="s">
        <v>73</v>
      </c>
      <c r="K3" s="290"/>
      <c r="L3" s="290"/>
    </row>
    <row r="4" spans="1:69">
      <c r="A4" s="320" t="s">
        <v>105</v>
      </c>
      <c r="B4" s="320"/>
      <c r="C4" s="320"/>
      <c r="J4" s="291" t="s">
        <v>106</v>
      </c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3"/>
    </row>
    <row r="5" spans="1:69">
      <c r="J5" s="325" t="s">
        <v>107</v>
      </c>
      <c r="K5" s="326"/>
      <c r="L5" s="326"/>
      <c r="M5" s="327"/>
      <c r="N5" s="323" t="s">
        <v>74</v>
      </c>
      <c r="O5" s="323"/>
      <c r="P5" s="323" t="s">
        <v>258</v>
      </c>
      <c r="Q5" s="323"/>
      <c r="R5" s="323"/>
      <c r="S5" s="323"/>
      <c r="T5" s="323"/>
      <c r="U5" s="323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127"/>
      <c r="BM5" s="127"/>
      <c r="BN5" s="127"/>
      <c r="BO5" s="127"/>
      <c r="BP5" s="127"/>
    </row>
    <row r="6" spans="1:69">
      <c r="J6" s="328"/>
      <c r="K6" s="329"/>
      <c r="L6" s="329"/>
      <c r="M6" s="330"/>
      <c r="N6" s="323" t="s">
        <v>108</v>
      </c>
      <c r="O6" s="323"/>
      <c r="P6" s="323" t="s">
        <v>257</v>
      </c>
      <c r="Q6" s="323"/>
      <c r="R6" s="323"/>
      <c r="S6" s="323"/>
      <c r="T6" s="323"/>
      <c r="U6" s="323"/>
      <c r="AF6" s="20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20" customFormat="1">
      <c r="J7" s="331"/>
      <c r="K7" s="332"/>
      <c r="L7" s="332"/>
      <c r="M7" s="333"/>
      <c r="N7" s="321" t="s">
        <v>255</v>
      </c>
      <c r="O7" s="322"/>
      <c r="P7" s="324" t="s">
        <v>256</v>
      </c>
      <c r="Q7" s="324"/>
      <c r="R7" s="324"/>
      <c r="S7" s="324"/>
      <c r="T7" s="324"/>
      <c r="U7" s="324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20" customFormat="1">
      <c r="AS8" s="126"/>
      <c r="AT8" s="126"/>
      <c r="AU8" s="126"/>
      <c r="AV8" s="126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20" customFormat="1">
      <c r="AS9" s="126"/>
      <c r="AT9" s="126"/>
      <c r="AU9" s="126"/>
      <c r="AV9" s="126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126"/>
      <c r="AT10" s="126"/>
      <c r="AU10" s="126"/>
      <c r="AV10" s="126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54">
        <v>1</v>
      </c>
      <c r="I12" s="116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8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54">
        <v>2</v>
      </c>
      <c r="I13" s="119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1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54">
        <v>3</v>
      </c>
      <c r="I14" s="119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1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54">
        <v>4</v>
      </c>
      <c r="I15" s="119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1"/>
    </row>
    <row r="16" spans="1:69">
      <c r="H16" s="54">
        <v>5</v>
      </c>
      <c r="I16" s="119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1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54">
        <v>6</v>
      </c>
      <c r="I17" s="119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1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54">
        <v>7</v>
      </c>
      <c r="I18" s="119"/>
      <c r="J18" s="120"/>
      <c r="K18" s="120"/>
      <c r="L18" s="120"/>
      <c r="M18" s="125"/>
      <c r="N18" s="125"/>
      <c r="O18" s="125"/>
      <c r="P18" s="125"/>
      <c r="Q18" s="125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2"/>
      <c r="AJ18" s="122"/>
      <c r="AK18" s="122"/>
      <c r="AL18" s="122"/>
      <c r="AM18" s="122"/>
      <c r="AN18" s="121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54">
        <v>8</v>
      </c>
      <c r="I19" s="119"/>
      <c r="J19" s="120"/>
      <c r="K19" s="120"/>
      <c r="L19" s="120"/>
      <c r="M19" s="125"/>
      <c r="N19" s="124"/>
      <c r="O19" s="125"/>
      <c r="P19" s="124"/>
      <c r="Q19" s="125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2"/>
      <c r="AJ19" s="123"/>
      <c r="AK19" s="122"/>
      <c r="AL19" s="123"/>
      <c r="AM19" s="122"/>
      <c r="AN19" s="121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54">
        <v>9</v>
      </c>
      <c r="I20" s="119"/>
      <c r="J20" s="120"/>
      <c r="K20" s="120"/>
      <c r="L20" s="120"/>
      <c r="M20" s="125"/>
      <c r="N20" s="125"/>
      <c r="O20" s="125"/>
      <c r="P20" s="125"/>
      <c r="Q20" s="122"/>
      <c r="R20" s="122"/>
      <c r="S20" s="122"/>
      <c r="T20" s="122"/>
      <c r="U20" s="122"/>
      <c r="V20" s="120"/>
      <c r="W20" s="120"/>
      <c r="X20" s="120"/>
      <c r="Y20" s="120"/>
      <c r="Z20" s="120"/>
      <c r="AA20" s="120"/>
      <c r="AB20" s="120"/>
      <c r="AC20" s="122"/>
      <c r="AD20" s="122"/>
      <c r="AE20" s="122"/>
      <c r="AF20" s="122"/>
      <c r="AG20" s="122"/>
      <c r="AH20" s="120"/>
      <c r="AI20" s="122"/>
      <c r="AJ20" s="122"/>
      <c r="AK20" s="122"/>
      <c r="AL20" s="122"/>
      <c r="AM20" s="122"/>
      <c r="AN20" s="121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54">
        <v>10</v>
      </c>
      <c r="I21" s="119"/>
      <c r="J21" s="120"/>
      <c r="K21" s="120"/>
      <c r="L21" s="120"/>
      <c r="M21" s="125"/>
      <c r="N21" s="124"/>
      <c r="O21" s="125"/>
      <c r="P21" s="124"/>
      <c r="Q21" s="122"/>
      <c r="R21" s="124"/>
      <c r="S21" s="122"/>
      <c r="T21" s="124"/>
      <c r="U21" s="122"/>
      <c r="V21" s="120"/>
      <c r="W21" s="120"/>
      <c r="X21" s="120"/>
      <c r="Y21" s="120"/>
      <c r="Z21" s="120"/>
      <c r="AA21" s="120"/>
      <c r="AB21" s="120"/>
      <c r="AC21" s="122"/>
      <c r="AD21" s="124"/>
      <c r="AE21" s="124"/>
      <c r="AF21" s="124"/>
      <c r="AG21" s="122"/>
      <c r="AH21" s="120"/>
      <c r="AI21" s="122"/>
      <c r="AJ21" s="123"/>
      <c r="AK21" s="122"/>
      <c r="AL21" s="123"/>
      <c r="AM21" s="122"/>
      <c r="AN21" s="1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54">
        <v>11</v>
      </c>
      <c r="I22" s="119"/>
      <c r="J22" s="120"/>
      <c r="K22" s="120"/>
      <c r="L22" s="120"/>
      <c r="M22" s="125"/>
      <c r="N22" s="125"/>
      <c r="O22" s="125"/>
      <c r="P22" s="125"/>
      <c r="Q22" s="122"/>
      <c r="R22" s="122"/>
      <c r="S22" s="122"/>
      <c r="T22" s="122"/>
      <c r="U22" s="122"/>
      <c r="V22" s="120"/>
      <c r="W22" s="120"/>
      <c r="X22" s="120"/>
      <c r="Y22" s="120"/>
      <c r="Z22" s="120"/>
      <c r="AA22" s="120"/>
      <c r="AB22" s="120"/>
      <c r="AC22" s="122"/>
      <c r="AD22" s="122"/>
      <c r="AE22" s="122"/>
      <c r="AF22" s="122"/>
      <c r="AG22" s="122"/>
      <c r="AH22" s="120"/>
      <c r="AI22" s="122"/>
      <c r="AJ22" s="122"/>
      <c r="AK22" s="122"/>
      <c r="AL22" s="122"/>
      <c r="AM22" s="122"/>
      <c r="AN22" s="121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54">
        <v>12</v>
      </c>
      <c r="I23" s="119"/>
      <c r="J23" s="120"/>
      <c r="K23" s="120"/>
      <c r="L23" s="120"/>
      <c r="M23" s="125"/>
      <c r="N23" s="124"/>
      <c r="O23" s="125"/>
      <c r="P23" s="124"/>
      <c r="Q23" s="122"/>
      <c r="R23" s="122"/>
      <c r="S23" s="122"/>
      <c r="T23" s="122"/>
      <c r="U23" s="122"/>
      <c r="V23" s="120"/>
      <c r="W23" s="120"/>
      <c r="X23" s="120"/>
      <c r="Y23" s="120"/>
      <c r="Z23" s="120"/>
      <c r="AA23" s="120"/>
      <c r="AB23" s="120"/>
      <c r="AC23" s="122"/>
      <c r="AD23" s="124"/>
      <c r="AE23" s="124"/>
      <c r="AF23" s="124"/>
      <c r="AG23" s="122"/>
      <c r="AH23" s="120"/>
      <c r="AI23" s="122"/>
      <c r="AJ23" s="123"/>
      <c r="AK23" s="122"/>
      <c r="AL23" s="123"/>
      <c r="AM23" s="122"/>
      <c r="AN23" s="121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54">
        <v>13</v>
      </c>
      <c r="I24" s="119"/>
      <c r="J24" s="120"/>
      <c r="K24" s="120"/>
      <c r="L24" s="120"/>
      <c r="M24" s="125"/>
      <c r="N24" s="125"/>
      <c r="O24" s="125"/>
      <c r="P24" s="125"/>
      <c r="Q24" s="122"/>
      <c r="R24" s="124"/>
      <c r="S24" s="122"/>
      <c r="T24" s="124"/>
      <c r="U24" s="122"/>
      <c r="V24" s="120"/>
      <c r="W24" s="120"/>
      <c r="X24" s="120"/>
      <c r="Y24" s="120"/>
      <c r="Z24" s="120"/>
      <c r="AA24" s="120"/>
      <c r="AB24" s="120"/>
      <c r="AC24" s="122"/>
      <c r="AD24" s="122"/>
      <c r="AE24" s="122"/>
      <c r="AF24" s="122"/>
      <c r="AG24" s="122"/>
      <c r="AH24" s="120"/>
      <c r="AI24" s="122"/>
      <c r="AJ24" s="122"/>
      <c r="AK24" s="122"/>
      <c r="AL24" s="122"/>
      <c r="AM24" s="122"/>
      <c r="AN24" s="121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54">
        <v>14</v>
      </c>
      <c r="I25" s="119"/>
      <c r="J25" s="120"/>
      <c r="K25" s="120"/>
      <c r="L25" s="120"/>
      <c r="M25" s="125"/>
      <c r="N25" s="125"/>
      <c r="O25" s="125"/>
      <c r="P25" s="125"/>
      <c r="Q25" s="122"/>
      <c r="R25" s="124"/>
      <c r="S25" s="122"/>
      <c r="T25" s="124"/>
      <c r="U25" s="122"/>
      <c r="V25" s="120"/>
      <c r="W25" s="120"/>
      <c r="X25" s="120"/>
      <c r="Y25" s="120"/>
      <c r="Z25" s="120"/>
      <c r="AA25" s="120"/>
      <c r="AB25" s="120"/>
      <c r="AC25" s="122"/>
      <c r="AD25" s="122"/>
      <c r="AE25" s="122"/>
      <c r="AF25" s="122"/>
      <c r="AG25" s="122"/>
      <c r="AH25" s="120"/>
      <c r="AI25" s="122"/>
      <c r="AJ25" s="122"/>
      <c r="AK25" s="122"/>
      <c r="AL25" s="122"/>
      <c r="AM25" s="122"/>
      <c r="AN25" s="121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54">
        <v>15</v>
      </c>
      <c r="I26" s="105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2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54">
        <v>16</v>
      </c>
      <c r="I27" s="105"/>
      <c r="J27" s="101"/>
      <c r="K27" s="110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  <c r="AJ27" s="101"/>
      <c r="AK27" s="101"/>
      <c r="AL27" s="101"/>
      <c r="AM27" s="101"/>
      <c r="AN27" s="102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54">
        <v>17</v>
      </c>
      <c r="I28" s="107"/>
      <c r="J28" s="111"/>
      <c r="K28" s="113"/>
      <c r="L28" s="114"/>
      <c r="M28" s="115"/>
      <c r="N28" s="114"/>
      <c r="O28" s="113"/>
      <c r="P28" s="112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9"/>
    </row>
    <row r="29" spans="8:69">
      <c r="H29" s="54">
        <v>18</v>
      </c>
      <c r="I29" s="106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4"/>
    </row>
  </sheetData>
  <mergeCells count="12">
    <mergeCell ref="N7:O7"/>
    <mergeCell ref="P5:U5"/>
    <mergeCell ref="P6:U6"/>
    <mergeCell ref="P7:U7"/>
    <mergeCell ref="J5:M7"/>
    <mergeCell ref="N5:O5"/>
    <mergeCell ref="N6:O6"/>
    <mergeCell ref="J3:L3"/>
    <mergeCell ref="C1:H1"/>
    <mergeCell ref="C2:H2"/>
    <mergeCell ref="A4:C4"/>
    <mergeCell ref="J4:U4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zoomScaleNormal="100" workbookViewId="0">
      <selection activeCell="E37" sqref="E37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88" customFormat="1">
      <c r="A1" s="99" t="s">
        <v>32</v>
      </c>
      <c r="C1" s="88" t="s">
        <v>20</v>
      </c>
    </row>
    <row r="3" spans="1:17">
      <c r="B3" s="334" t="s">
        <v>109</v>
      </c>
      <c r="C3" s="334" t="s">
        <v>110</v>
      </c>
      <c r="D3" s="334" t="s">
        <v>111</v>
      </c>
      <c r="E3" s="334" t="s">
        <v>112</v>
      </c>
      <c r="F3" s="334" t="s">
        <v>113</v>
      </c>
      <c r="G3" s="334"/>
      <c r="H3" s="334" t="s">
        <v>114</v>
      </c>
      <c r="I3" s="334" t="s">
        <v>115</v>
      </c>
      <c r="J3" s="335" t="s">
        <v>116</v>
      </c>
      <c r="K3" s="334" t="s">
        <v>117</v>
      </c>
      <c r="L3" s="335" t="s">
        <v>118</v>
      </c>
      <c r="M3" s="334" t="s">
        <v>119</v>
      </c>
      <c r="N3" s="334" t="s">
        <v>120</v>
      </c>
      <c r="O3" s="334" t="s">
        <v>121</v>
      </c>
      <c r="P3" s="334" t="s">
        <v>122</v>
      </c>
      <c r="Q3" s="334" t="s">
        <v>123</v>
      </c>
    </row>
    <row r="4" spans="1:17">
      <c r="B4" s="334"/>
      <c r="C4" s="334"/>
      <c r="D4" s="334"/>
      <c r="E4" s="334"/>
      <c r="F4" s="11" t="s">
        <v>124</v>
      </c>
      <c r="G4" s="11" t="s">
        <v>125</v>
      </c>
      <c r="H4" s="334"/>
      <c r="I4" s="334"/>
      <c r="J4" s="336"/>
      <c r="K4" s="334"/>
      <c r="L4" s="336"/>
      <c r="M4" s="334"/>
      <c r="N4" s="334"/>
      <c r="O4" s="334"/>
      <c r="P4" s="334"/>
      <c r="Q4" s="334"/>
    </row>
    <row r="5" spans="1:17">
      <c r="B5" s="1">
        <v>1</v>
      </c>
      <c r="C5" s="1" t="s">
        <v>126</v>
      </c>
      <c r="D5" s="1" t="s">
        <v>127</v>
      </c>
      <c r="E5" s="1" t="s">
        <v>236</v>
      </c>
      <c r="F5" s="1">
        <v>80</v>
      </c>
      <c r="G5" s="1">
        <v>80</v>
      </c>
      <c r="H5" s="1">
        <v>1</v>
      </c>
      <c r="I5" s="1"/>
      <c r="J5" s="1" t="s">
        <v>128</v>
      </c>
      <c r="K5" s="1"/>
      <c r="L5" s="1"/>
      <c r="M5" s="1"/>
      <c r="N5" s="128">
        <v>46343</v>
      </c>
      <c r="O5" s="128">
        <v>46351</v>
      </c>
      <c r="P5" s="1"/>
      <c r="Q5" s="1"/>
    </row>
    <row r="6" spans="1:17">
      <c r="B6" s="1">
        <v>2</v>
      </c>
      <c r="C6" s="1" t="s">
        <v>129</v>
      </c>
      <c r="D6" s="1" t="s">
        <v>127</v>
      </c>
      <c r="E6" s="1" t="s">
        <v>227</v>
      </c>
      <c r="F6" s="1">
        <v>100</v>
      </c>
      <c r="G6" s="1">
        <v>300</v>
      </c>
      <c r="H6" s="1">
        <v>2</v>
      </c>
      <c r="I6" s="1" t="s">
        <v>226</v>
      </c>
      <c r="J6" s="1" t="s">
        <v>130</v>
      </c>
      <c r="K6" s="1"/>
      <c r="L6" s="1"/>
      <c r="M6" s="1"/>
      <c r="N6" s="128">
        <v>46343</v>
      </c>
      <c r="O6" s="128">
        <v>46367</v>
      </c>
      <c r="P6" s="1"/>
      <c r="Q6" s="1"/>
    </row>
    <row r="7" spans="1:17">
      <c r="B7" s="1">
        <v>3</v>
      </c>
      <c r="C7" s="1" t="s">
        <v>131</v>
      </c>
      <c r="D7" s="1" t="s">
        <v>127</v>
      </c>
      <c r="E7" s="1" t="s">
        <v>235</v>
      </c>
      <c r="F7" s="1">
        <v>200</v>
      </c>
      <c r="G7" s="1">
        <v>200</v>
      </c>
      <c r="H7" s="1">
        <v>1</v>
      </c>
      <c r="I7" s="1"/>
      <c r="J7" s="1" t="s">
        <v>130</v>
      </c>
      <c r="K7" s="1"/>
      <c r="L7" s="1"/>
      <c r="M7" s="1"/>
      <c r="N7" s="128">
        <v>46343</v>
      </c>
      <c r="O7" s="128">
        <v>46338</v>
      </c>
      <c r="P7" s="1"/>
      <c r="Q7" s="1"/>
    </row>
    <row r="8" spans="1:17">
      <c r="B8" s="1">
        <v>4</v>
      </c>
      <c r="C8" s="1" t="s">
        <v>228</v>
      </c>
      <c r="D8" s="1" t="s">
        <v>127</v>
      </c>
      <c r="E8" s="1" t="s">
        <v>234</v>
      </c>
      <c r="F8" s="1">
        <v>1920</v>
      </c>
      <c r="G8" s="1">
        <v>1080</v>
      </c>
      <c r="H8" s="1">
        <v>1</v>
      </c>
      <c r="I8" s="1"/>
      <c r="J8" s="1" t="s">
        <v>142</v>
      </c>
      <c r="K8" s="1"/>
      <c r="L8" s="1"/>
      <c r="M8" s="1"/>
      <c r="N8" s="128">
        <v>46343</v>
      </c>
      <c r="O8" s="128">
        <v>46037</v>
      </c>
      <c r="P8" s="1"/>
      <c r="Q8" s="1"/>
    </row>
    <row r="9" spans="1:17">
      <c r="B9" s="1">
        <v>5</v>
      </c>
      <c r="C9" s="235" t="s">
        <v>132</v>
      </c>
      <c r="D9" s="235" t="s">
        <v>127</v>
      </c>
      <c r="E9" s="1"/>
      <c r="F9" s="235">
        <v>1920</v>
      </c>
      <c r="G9" s="235">
        <v>1080</v>
      </c>
      <c r="H9" s="235">
        <v>1</v>
      </c>
      <c r="I9" s="1"/>
      <c r="J9" s="235" t="s">
        <v>130</v>
      </c>
      <c r="K9" s="1"/>
      <c r="L9" s="1"/>
      <c r="M9" s="1"/>
      <c r="N9" s="128"/>
      <c r="O9" s="1"/>
      <c r="P9" s="1"/>
      <c r="Q9" s="1"/>
    </row>
    <row r="10" spans="1:17">
      <c r="B10" s="1">
        <v>6</v>
      </c>
      <c r="C10" s="235" t="s">
        <v>133</v>
      </c>
      <c r="D10" s="235" t="s">
        <v>127</v>
      </c>
      <c r="E10" s="1"/>
      <c r="F10" s="235">
        <v>1920</v>
      </c>
      <c r="G10" s="235">
        <v>1080</v>
      </c>
      <c r="H10" s="235">
        <v>1</v>
      </c>
      <c r="I10" s="1"/>
      <c r="J10" s="236" t="s">
        <v>130</v>
      </c>
      <c r="K10" s="1"/>
      <c r="L10" s="1"/>
      <c r="M10" s="1"/>
      <c r="N10" s="128"/>
      <c r="O10" s="1"/>
      <c r="P10" s="1"/>
      <c r="Q10" s="1"/>
    </row>
    <row r="11" spans="1:17">
      <c r="B11" s="1">
        <v>7</v>
      </c>
      <c r="C11" s="1" t="s">
        <v>249</v>
      </c>
      <c r="D11" s="1" t="s">
        <v>127</v>
      </c>
      <c r="E11" s="1" t="s">
        <v>234</v>
      </c>
      <c r="F11" s="1">
        <v>1920</v>
      </c>
      <c r="G11" s="1">
        <v>1080</v>
      </c>
      <c r="H11" s="1">
        <v>1</v>
      </c>
      <c r="I11" s="1"/>
      <c r="J11" s="1" t="s">
        <v>142</v>
      </c>
      <c r="K11" s="1"/>
      <c r="L11" s="1"/>
      <c r="M11" s="1"/>
      <c r="N11" s="128">
        <v>46343</v>
      </c>
      <c r="O11" s="128">
        <v>45988</v>
      </c>
      <c r="P11" s="1"/>
      <c r="Q11" s="1"/>
    </row>
    <row r="12" spans="1:17">
      <c r="B12" s="1">
        <v>8</v>
      </c>
      <c r="C12" s="1" t="s">
        <v>134</v>
      </c>
      <c r="D12" s="1" t="s">
        <v>127</v>
      </c>
      <c r="E12" s="1" t="s">
        <v>235</v>
      </c>
      <c r="F12" s="1">
        <v>150</v>
      </c>
      <c r="G12" s="1">
        <v>150</v>
      </c>
      <c r="H12" s="1">
        <v>1</v>
      </c>
      <c r="I12" s="1"/>
      <c r="J12" s="1" t="s">
        <v>142</v>
      </c>
      <c r="K12" s="1"/>
      <c r="L12" s="1"/>
      <c r="M12" s="1"/>
      <c r="N12" s="128">
        <v>46343</v>
      </c>
      <c r="O12" s="128">
        <v>45988</v>
      </c>
      <c r="P12" s="1"/>
      <c r="Q12" s="1"/>
    </row>
    <row r="13" spans="1:17">
      <c r="B13" s="1">
        <v>9</v>
      </c>
      <c r="C13" s="1" t="s">
        <v>229</v>
      </c>
      <c r="D13" s="1" t="s">
        <v>127</v>
      </c>
      <c r="E13" s="1" t="s">
        <v>234</v>
      </c>
      <c r="F13" s="1">
        <v>1920</v>
      </c>
      <c r="G13" s="1">
        <v>1080</v>
      </c>
      <c r="H13" s="1">
        <v>1</v>
      </c>
      <c r="I13" s="1"/>
      <c r="J13" s="1" t="s">
        <v>142</v>
      </c>
      <c r="K13" s="1"/>
      <c r="L13" s="1"/>
      <c r="M13" s="1"/>
      <c r="N13" s="128">
        <v>46343</v>
      </c>
      <c r="O13" s="128">
        <v>46044</v>
      </c>
      <c r="P13" s="1"/>
      <c r="Q13" s="1"/>
    </row>
    <row r="14" spans="1:17">
      <c r="B14" s="1">
        <v>10</v>
      </c>
      <c r="C14" s="1" t="s">
        <v>230</v>
      </c>
      <c r="D14" s="1" t="s">
        <v>127</v>
      </c>
      <c r="E14" s="1" t="s">
        <v>234</v>
      </c>
      <c r="F14" s="1">
        <v>1920</v>
      </c>
      <c r="G14" s="1">
        <v>1080</v>
      </c>
      <c r="H14" s="1">
        <v>1</v>
      </c>
      <c r="I14" s="1"/>
      <c r="J14" s="1" t="s">
        <v>142</v>
      </c>
      <c r="K14" s="1"/>
      <c r="L14" s="1"/>
      <c r="M14" s="1"/>
      <c r="N14" s="128">
        <v>46343</v>
      </c>
      <c r="O14" s="128">
        <v>46044</v>
      </c>
      <c r="P14" s="1"/>
      <c r="Q14" s="1"/>
    </row>
    <row r="15" spans="1:17">
      <c r="B15" s="1">
        <v>11</v>
      </c>
      <c r="C15" s="1" t="s">
        <v>231</v>
      </c>
      <c r="D15" s="1" t="s">
        <v>127</v>
      </c>
      <c r="E15" s="1" t="s">
        <v>234</v>
      </c>
      <c r="F15" s="1">
        <v>1920</v>
      </c>
      <c r="G15" s="1">
        <v>1080</v>
      </c>
      <c r="H15" s="1">
        <v>1</v>
      </c>
      <c r="I15" s="1"/>
      <c r="J15" s="1" t="s">
        <v>142</v>
      </c>
      <c r="K15" s="1"/>
      <c r="L15" s="1"/>
      <c r="M15" s="1"/>
      <c r="N15" s="128">
        <v>46343</v>
      </c>
      <c r="O15" s="128">
        <v>46044</v>
      </c>
      <c r="P15" s="1"/>
      <c r="Q15" s="1"/>
    </row>
    <row r="16" spans="1:17">
      <c r="B16" s="1">
        <v>12</v>
      </c>
      <c r="C16" s="1" t="s">
        <v>135</v>
      </c>
      <c r="D16" s="1" t="s">
        <v>127</v>
      </c>
      <c r="E16" s="1" t="s">
        <v>234</v>
      </c>
      <c r="F16" s="1">
        <v>1920</v>
      </c>
      <c r="G16" s="1">
        <v>1080</v>
      </c>
      <c r="H16" s="1">
        <v>1</v>
      </c>
      <c r="I16" s="1"/>
      <c r="J16" s="1" t="s">
        <v>130</v>
      </c>
      <c r="K16" s="1"/>
      <c r="L16" s="1"/>
      <c r="M16" s="1"/>
      <c r="N16" s="128">
        <v>46343</v>
      </c>
      <c r="O16" s="128">
        <v>45988</v>
      </c>
      <c r="P16" s="1"/>
      <c r="Q16" s="1"/>
    </row>
    <row r="17" spans="2:17">
      <c r="B17" s="1">
        <v>13</v>
      </c>
      <c r="C17" s="1" t="s">
        <v>136</v>
      </c>
      <c r="D17" s="1" t="s">
        <v>127</v>
      </c>
      <c r="E17" s="1" t="s">
        <v>234</v>
      </c>
      <c r="F17" s="1">
        <v>1920</v>
      </c>
      <c r="G17" s="1">
        <v>1080</v>
      </c>
      <c r="H17" s="1">
        <v>1</v>
      </c>
      <c r="I17" s="1"/>
      <c r="J17" s="1" t="s">
        <v>130</v>
      </c>
      <c r="K17" s="1"/>
      <c r="L17" s="1"/>
      <c r="M17" s="1"/>
      <c r="N17" s="128">
        <v>46343</v>
      </c>
      <c r="O17" s="128">
        <v>45988</v>
      </c>
      <c r="P17" s="1"/>
      <c r="Q17" s="1"/>
    </row>
    <row r="18" spans="2:17">
      <c r="B18" s="1">
        <v>14</v>
      </c>
      <c r="C18" s="1" t="s">
        <v>137</v>
      </c>
      <c r="D18" s="1" t="s">
        <v>127</v>
      </c>
      <c r="E18" s="1" t="s">
        <v>234</v>
      </c>
      <c r="F18" s="1">
        <v>1920</v>
      </c>
      <c r="G18" s="1">
        <v>1080</v>
      </c>
      <c r="H18" s="1">
        <v>1</v>
      </c>
      <c r="I18" s="1"/>
      <c r="J18" s="1" t="s">
        <v>130</v>
      </c>
      <c r="K18" s="1"/>
      <c r="L18" s="1"/>
      <c r="M18" s="1"/>
      <c r="N18" s="128">
        <v>46343</v>
      </c>
      <c r="O18" s="128">
        <v>45994</v>
      </c>
      <c r="P18" s="1"/>
      <c r="Q18" s="1"/>
    </row>
    <row r="19" spans="2:17">
      <c r="B19" s="1">
        <v>15</v>
      </c>
      <c r="C19" s="1" t="s">
        <v>138</v>
      </c>
      <c r="D19" s="1" t="s">
        <v>127</v>
      </c>
      <c r="E19" s="1" t="s">
        <v>234</v>
      </c>
      <c r="F19" s="1">
        <v>1920</v>
      </c>
      <c r="G19" s="1">
        <v>1080</v>
      </c>
      <c r="H19" s="1">
        <v>1</v>
      </c>
      <c r="I19" s="1"/>
      <c r="J19" s="1" t="s">
        <v>130</v>
      </c>
      <c r="K19" s="1"/>
      <c r="L19" s="1"/>
      <c r="M19" s="1"/>
      <c r="N19" s="128">
        <v>46343</v>
      </c>
      <c r="O19" s="128">
        <v>45994</v>
      </c>
      <c r="P19" s="1"/>
      <c r="Q19" s="1"/>
    </row>
    <row r="20" spans="2:17">
      <c r="B20" s="1">
        <v>16</v>
      </c>
      <c r="C20" s="1" t="s">
        <v>139</v>
      </c>
      <c r="D20" s="1" t="s">
        <v>127</v>
      </c>
      <c r="E20" s="1" t="s">
        <v>234</v>
      </c>
      <c r="F20" s="1">
        <v>1920</v>
      </c>
      <c r="G20" s="1">
        <v>1080</v>
      </c>
      <c r="H20" s="1">
        <v>1</v>
      </c>
      <c r="I20" s="1"/>
      <c r="J20" s="1" t="s">
        <v>130</v>
      </c>
      <c r="K20" s="1"/>
      <c r="L20" s="1"/>
      <c r="M20" s="1"/>
      <c r="N20" s="128">
        <v>46343</v>
      </c>
      <c r="O20" s="128">
        <v>45994</v>
      </c>
      <c r="P20" s="1"/>
      <c r="Q20" s="1"/>
    </row>
    <row r="21" spans="2:17">
      <c r="B21" s="1">
        <v>17</v>
      </c>
      <c r="C21" s="1" t="s">
        <v>140</v>
      </c>
      <c r="D21" s="1" t="s">
        <v>127</v>
      </c>
      <c r="E21" s="1" t="s">
        <v>234</v>
      </c>
      <c r="F21" s="1">
        <v>1920</v>
      </c>
      <c r="G21" s="1">
        <v>1080</v>
      </c>
      <c r="H21" s="1">
        <v>1</v>
      </c>
      <c r="I21" s="1"/>
      <c r="J21" s="1" t="s">
        <v>130</v>
      </c>
      <c r="K21" s="1"/>
      <c r="L21" s="1"/>
      <c r="M21" s="1"/>
      <c r="N21" s="128">
        <v>46343</v>
      </c>
      <c r="O21" s="128">
        <v>45994</v>
      </c>
      <c r="P21" s="1"/>
      <c r="Q21" s="1"/>
    </row>
    <row r="22" spans="2:17">
      <c r="B22" s="1">
        <v>18</v>
      </c>
      <c r="C22" s="1" t="s">
        <v>244</v>
      </c>
      <c r="D22" s="1" t="s">
        <v>127</v>
      </c>
      <c r="E22" s="1" t="s">
        <v>141</v>
      </c>
      <c r="F22" s="1">
        <v>1920</v>
      </c>
      <c r="G22" s="1">
        <v>1080</v>
      </c>
      <c r="H22" s="1">
        <v>4</v>
      </c>
      <c r="I22" s="1" t="s">
        <v>253</v>
      </c>
      <c r="J22" s="1" t="s">
        <v>232</v>
      </c>
      <c r="K22" s="1"/>
      <c r="L22" s="1"/>
      <c r="M22" s="1"/>
      <c r="N22" s="128">
        <v>45995</v>
      </c>
      <c r="O22" s="128">
        <v>46030</v>
      </c>
      <c r="P22" s="1"/>
      <c r="Q22" s="1"/>
    </row>
    <row r="23" spans="2:17">
      <c r="B23" s="1">
        <v>19</v>
      </c>
      <c r="C23" s="1" t="s">
        <v>237</v>
      </c>
      <c r="D23" s="1" t="s">
        <v>127</v>
      </c>
      <c r="E23" s="1" t="s">
        <v>238</v>
      </c>
      <c r="F23" s="1">
        <v>30</v>
      </c>
      <c r="G23" s="1">
        <v>30</v>
      </c>
      <c r="H23" s="1">
        <v>1</v>
      </c>
      <c r="I23" s="1" t="s">
        <v>233</v>
      </c>
      <c r="J23" s="1" t="s">
        <v>232</v>
      </c>
      <c r="K23" s="1"/>
      <c r="L23" s="1"/>
      <c r="M23" s="1"/>
      <c r="N23" s="128">
        <v>45995</v>
      </c>
      <c r="O23" s="128">
        <v>46030</v>
      </c>
      <c r="P23" s="1"/>
      <c r="Q23" s="1"/>
    </row>
    <row r="24" spans="2:17">
      <c r="B24" s="1">
        <v>20</v>
      </c>
      <c r="C24" s="1" t="s">
        <v>143</v>
      </c>
      <c r="D24" s="1" t="s">
        <v>127</v>
      </c>
      <c r="E24" s="1" t="s">
        <v>239</v>
      </c>
      <c r="F24" s="1">
        <v>420</v>
      </c>
      <c r="G24" s="1">
        <v>60</v>
      </c>
      <c r="H24" s="1">
        <v>4</v>
      </c>
      <c r="I24" s="1" t="s">
        <v>240</v>
      </c>
      <c r="J24" s="1" t="s">
        <v>232</v>
      </c>
      <c r="K24" s="1"/>
      <c r="L24" s="1"/>
      <c r="M24" s="1"/>
      <c r="N24" s="128">
        <v>45995</v>
      </c>
      <c r="O24" s="128">
        <v>46030</v>
      </c>
      <c r="P24" s="1"/>
      <c r="Q24" s="1"/>
    </row>
    <row r="25" spans="2:17">
      <c r="B25" s="1">
        <v>21</v>
      </c>
      <c r="C25" s="1" t="s">
        <v>144</v>
      </c>
      <c r="D25" s="1" t="s">
        <v>127</v>
      </c>
      <c r="E25" s="185" t="s">
        <v>242</v>
      </c>
      <c r="F25" s="1">
        <v>420</v>
      </c>
      <c r="G25" s="1">
        <v>60</v>
      </c>
      <c r="H25" s="1">
        <v>1</v>
      </c>
      <c r="I25" s="1" t="s">
        <v>145</v>
      </c>
      <c r="J25" s="1" t="s">
        <v>232</v>
      </c>
      <c r="K25" s="1"/>
      <c r="L25" s="1"/>
      <c r="M25" s="1"/>
      <c r="N25" s="128">
        <v>45995</v>
      </c>
      <c r="O25" s="128">
        <v>46030</v>
      </c>
      <c r="P25" s="1"/>
      <c r="Q25" s="1"/>
    </row>
    <row r="26" spans="2:17">
      <c r="B26" s="1">
        <v>22</v>
      </c>
      <c r="C26" s="1" t="s">
        <v>146</v>
      </c>
      <c r="D26" s="1" t="s">
        <v>127</v>
      </c>
      <c r="E26" s="236" t="s">
        <v>243</v>
      </c>
      <c r="F26" s="235">
        <v>120</v>
      </c>
      <c r="G26" s="235">
        <v>240</v>
      </c>
      <c r="H26" s="235">
        <v>1</v>
      </c>
      <c r="I26" s="235" t="s">
        <v>147</v>
      </c>
      <c r="J26" s="236" t="s">
        <v>232</v>
      </c>
      <c r="K26" s="236"/>
      <c r="L26" s="236"/>
      <c r="M26" s="236"/>
      <c r="N26" s="241">
        <v>45995</v>
      </c>
      <c r="O26" s="128"/>
      <c r="P26" s="1"/>
      <c r="Q26" s="1"/>
    </row>
    <row r="27" spans="2:17">
      <c r="B27" s="1">
        <v>23</v>
      </c>
      <c r="C27" s="1" t="s">
        <v>148</v>
      </c>
      <c r="D27" s="1" t="s">
        <v>127</v>
      </c>
      <c r="E27" s="185" t="s">
        <v>241</v>
      </c>
      <c r="F27" s="1">
        <v>60</v>
      </c>
      <c r="G27" s="1">
        <v>60</v>
      </c>
      <c r="H27" s="1">
        <v>1</v>
      </c>
      <c r="I27" s="1" t="s">
        <v>149</v>
      </c>
      <c r="J27" s="1" t="s">
        <v>232</v>
      </c>
      <c r="K27" s="1"/>
      <c r="L27" s="1"/>
      <c r="M27" s="1"/>
      <c r="N27" s="128">
        <v>45995</v>
      </c>
      <c r="O27" s="128">
        <v>46030</v>
      </c>
      <c r="P27" s="1"/>
      <c r="Q27" s="1"/>
    </row>
    <row r="28" spans="2:17">
      <c r="B28" s="1">
        <v>24</v>
      </c>
      <c r="C28" s="1" t="s">
        <v>150</v>
      </c>
      <c r="D28" s="1" t="s">
        <v>127</v>
      </c>
      <c r="E28" s="1" t="s">
        <v>151</v>
      </c>
      <c r="F28" s="1">
        <v>220</v>
      </c>
      <c r="G28" s="1">
        <v>220</v>
      </c>
      <c r="H28" s="1">
        <v>1</v>
      </c>
      <c r="I28" s="1"/>
      <c r="J28" s="1" t="s">
        <v>232</v>
      </c>
      <c r="K28" s="1"/>
      <c r="L28" s="1"/>
      <c r="M28" s="1"/>
      <c r="N28" s="128">
        <v>46360</v>
      </c>
      <c r="O28" s="128">
        <v>46030</v>
      </c>
      <c r="P28" s="1"/>
      <c r="Q28" s="1"/>
    </row>
    <row r="29" spans="2:17">
      <c r="B29" s="1">
        <v>25</v>
      </c>
      <c r="C29" s="1" t="s">
        <v>152</v>
      </c>
      <c r="D29" s="1" t="s">
        <v>33</v>
      </c>
      <c r="E29" s="1" t="s">
        <v>245</v>
      </c>
      <c r="F29" s="1">
        <v>1920</v>
      </c>
      <c r="G29" s="1">
        <v>1080</v>
      </c>
      <c r="H29" s="1">
        <v>1</v>
      </c>
      <c r="I29" s="1"/>
      <c r="J29" s="1" t="s">
        <v>130</v>
      </c>
      <c r="K29" s="1"/>
      <c r="L29" s="1"/>
      <c r="M29" s="1"/>
      <c r="N29" s="128">
        <v>46360</v>
      </c>
      <c r="O29" s="128">
        <v>46048</v>
      </c>
      <c r="P29" s="1"/>
      <c r="Q29" s="1"/>
    </row>
    <row r="30" spans="2:17">
      <c r="B30" s="1">
        <v>26</v>
      </c>
      <c r="C30" s="1" t="s">
        <v>153</v>
      </c>
      <c r="D30" s="1" t="s">
        <v>57</v>
      </c>
      <c r="E30" s="185" t="s">
        <v>248</v>
      </c>
      <c r="F30" s="1">
        <v>1920</v>
      </c>
      <c r="G30" s="1">
        <v>1080</v>
      </c>
      <c r="H30" s="1">
        <v>1</v>
      </c>
      <c r="I30" s="1" t="s">
        <v>154</v>
      </c>
      <c r="J30" s="1" t="s">
        <v>232</v>
      </c>
      <c r="K30" s="1"/>
      <c r="L30" s="1"/>
      <c r="M30" s="1"/>
      <c r="N30" s="128">
        <v>46037</v>
      </c>
      <c r="O30" s="128">
        <v>46037</v>
      </c>
      <c r="P30" s="1"/>
      <c r="Q30" s="1"/>
    </row>
    <row r="31" spans="2:17">
      <c r="B31" s="1">
        <v>27</v>
      </c>
      <c r="C31" s="1" t="s">
        <v>155</v>
      </c>
      <c r="D31" s="1" t="s">
        <v>57</v>
      </c>
      <c r="E31" s="1" t="s">
        <v>246</v>
      </c>
      <c r="F31" s="1">
        <v>900</v>
      </c>
      <c r="G31" s="1">
        <v>450</v>
      </c>
      <c r="H31" s="1">
        <v>1</v>
      </c>
      <c r="I31" s="1" t="s">
        <v>156</v>
      </c>
      <c r="J31" s="1" t="s">
        <v>232</v>
      </c>
      <c r="K31" s="1"/>
      <c r="L31" s="1"/>
      <c r="M31" s="1"/>
      <c r="N31" s="128">
        <v>46037</v>
      </c>
      <c r="O31" s="128">
        <v>46037</v>
      </c>
      <c r="P31" s="1"/>
      <c r="Q31" s="1"/>
    </row>
    <row r="32" spans="2:17">
      <c r="B32" s="1">
        <v>28</v>
      </c>
      <c r="C32" s="1" t="s">
        <v>157</v>
      </c>
      <c r="D32" s="1" t="s">
        <v>57</v>
      </c>
      <c r="E32" s="185" t="s">
        <v>247</v>
      </c>
      <c r="F32" s="1">
        <v>900</v>
      </c>
      <c r="G32" s="1">
        <v>450</v>
      </c>
      <c r="H32" s="1">
        <v>1</v>
      </c>
      <c r="I32" s="1" t="s">
        <v>158</v>
      </c>
      <c r="J32" s="1" t="s">
        <v>232</v>
      </c>
      <c r="K32" s="1"/>
      <c r="L32" s="1"/>
      <c r="M32" s="1"/>
      <c r="N32" s="128">
        <v>46037</v>
      </c>
      <c r="O32" s="128">
        <v>46037</v>
      </c>
      <c r="P32" s="1"/>
      <c r="Q32" s="1"/>
    </row>
    <row r="33" spans="2:17">
      <c r="B33" s="1">
        <v>29</v>
      </c>
      <c r="C33" s="1" t="s">
        <v>250</v>
      </c>
      <c r="D33" s="1" t="s">
        <v>251</v>
      </c>
      <c r="E33" s="1" t="s">
        <v>252</v>
      </c>
      <c r="F33" s="1"/>
      <c r="G33" s="1"/>
      <c r="H33" s="1">
        <v>1</v>
      </c>
      <c r="I33" s="1"/>
      <c r="J33" s="1" t="s">
        <v>142</v>
      </c>
      <c r="K33" s="1"/>
      <c r="L33" s="1"/>
      <c r="M33" s="1"/>
      <c r="N33" s="128">
        <v>46051</v>
      </c>
      <c r="O33" s="128">
        <v>46065</v>
      </c>
      <c r="P33" s="1"/>
      <c r="Q33" s="1"/>
    </row>
    <row r="34" spans="2:17">
      <c r="B34" s="1">
        <v>30</v>
      </c>
      <c r="C34" s="1" t="s">
        <v>268</v>
      </c>
      <c r="D34" s="1" t="s">
        <v>269</v>
      </c>
      <c r="E34" s="1" t="s">
        <v>280</v>
      </c>
      <c r="F34" s="1">
        <v>1920</v>
      </c>
      <c r="G34" s="1">
        <v>1080</v>
      </c>
      <c r="H34" s="1">
        <v>3</v>
      </c>
      <c r="I34" s="1"/>
      <c r="J34" s="1"/>
      <c r="K34" s="1"/>
      <c r="L34" s="1"/>
      <c r="M34" s="1"/>
      <c r="N34" s="128">
        <v>46043</v>
      </c>
      <c r="O34" s="128">
        <v>46043</v>
      </c>
      <c r="P34" s="1"/>
      <c r="Q34" s="1"/>
    </row>
  </sheetData>
  <autoFilter ref="B3:Q4" xr:uid="{00000000-0009-0000-0000-00000F000000}">
    <filterColumn colId="4" showButton="0"/>
  </autoFilter>
  <mergeCells count="15">
    <mergeCell ref="O3:O4"/>
    <mergeCell ref="P3:P4"/>
    <mergeCell ref="Q3:Q4"/>
    <mergeCell ref="I3:I4"/>
    <mergeCell ref="J3:J4"/>
    <mergeCell ref="L3:L4"/>
    <mergeCell ref="K3:K4"/>
    <mergeCell ref="M3:M4"/>
    <mergeCell ref="N3:N4"/>
    <mergeCell ref="B3:B4"/>
    <mergeCell ref="C3:C4"/>
    <mergeCell ref="E3:E4"/>
    <mergeCell ref="F3:G3"/>
    <mergeCell ref="H3:H4"/>
    <mergeCell ref="D3:D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74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88" customFormat="1">
      <c r="A1" s="99" t="s">
        <v>32</v>
      </c>
      <c r="C1" s="88" t="s">
        <v>22</v>
      </c>
      <c r="F1" s="95"/>
    </row>
    <row r="3" spans="1:17" s="69" customFormat="1" ht="35.25">
      <c r="B3" s="70" t="s">
        <v>109</v>
      </c>
      <c r="C3" s="70" t="s">
        <v>110</v>
      </c>
      <c r="D3" s="70" t="s">
        <v>159</v>
      </c>
      <c r="E3" s="70" t="s">
        <v>111</v>
      </c>
      <c r="F3" s="72" t="s">
        <v>160</v>
      </c>
      <c r="G3" s="70" t="s">
        <v>161</v>
      </c>
      <c r="H3" s="70" t="s">
        <v>115</v>
      </c>
      <c r="I3" s="71" t="s">
        <v>162</v>
      </c>
      <c r="J3" s="70" t="s">
        <v>117</v>
      </c>
      <c r="K3" s="71" t="s">
        <v>163</v>
      </c>
      <c r="L3" s="70" t="s">
        <v>119</v>
      </c>
      <c r="M3" s="70" t="s">
        <v>120</v>
      </c>
      <c r="N3" s="70" t="s">
        <v>164</v>
      </c>
      <c r="O3" s="70" t="s">
        <v>121</v>
      </c>
      <c r="P3" s="70" t="s">
        <v>122</v>
      </c>
      <c r="Q3" s="70" t="s">
        <v>123</v>
      </c>
    </row>
    <row r="4" spans="1:17">
      <c r="B4" s="1">
        <v>1</v>
      </c>
      <c r="C4" s="1"/>
      <c r="D4" s="1"/>
      <c r="E4" s="1"/>
      <c r="F4" s="73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73"/>
      <c r="H5" s="75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73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73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73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73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7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7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7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7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7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7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73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7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7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7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7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7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7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7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7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7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7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36"/>
  <sheetViews>
    <sheetView topLeftCell="A19" workbookViewId="0">
      <selection activeCell="P8" sqref="P8"/>
    </sheetView>
  </sheetViews>
  <sheetFormatPr defaultRowHeight="17.649999999999999"/>
  <cols>
    <col min="1" max="1" width="5.25" bestFit="1" customWidth="1"/>
    <col min="2" max="2" width="3.5" bestFit="1" customWidth="1"/>
    <col min="3" max="3" width="5.5" bestFit="1" customWidth="1"/>
    <col min="4" max="4" width="3.5" bestFit="1" customWidth="1"/>
    <col min="5" max="5" width="9" bestFit="1" customWidth="1"/>
    <col min="6" max="6" width="5.25" bestFit="1" customWidth="1"/>
    <col min="7" max="7" width="31.75" bestFit="1" customWidth="1"/>
  </cols>
  <sheetData>
    <row r="1" spans="1:9" s="88" customFormat="1">
      <c r="A1" s="99" t="s">
        <v>32</v>
      </c>
      <c r="C1" s="253" t="s">
        <v>165</v>
      </c>
      <c r="D1" s="253"/>
      <c r="E1" s="253"/>
    </row>
    <row r="3" spans="1:9">
      <c r="C3" s="337" t="s">
        <v>165</v>
      </c>
      <c r="D3" s="337"/>
      <c r="E3" s="337"/>
    </row>
    <row r="4" spans="1:9">
      <c r="B4" s="338" t="s">
        <v>166</v>
      </c>
      <c r="C4" s="338"/>
      <c r="D4" s="53"/>
      <c r="E4" s="53"/>
    </row>
    <row r="5" spans="1:9">
      <c r="B5" s="323" t="s">
        <v>167</v>
      </c>
      <c r="C5" s="323"/>
      <c r="D5" s="1" t="s">
        <v>168</v>
      </c>
      <c r="E5" s="1" t="s">
        <v>169</v>
      </c>
      <c r="F5" s="1" t="s">
        <v>170</v>
      </c>
      <c r="G5" s="1" t="s">
        <v>112</v>
      </c>
      <c r="H5" s="1" t="s">
        <v>171</v>
      </c>
      <c r="I5" s="1"/>
    </row>
    <row r="6" spans="1:9">
      <c r="B6" s="1" t="str">
        <f>IF(C6="","","・")</f>
        <v>・</v>
      </c>
      <c r="C6" s="8">
        <v>0</v>
      </c>
      <c r="D6" s="1" t="str">
        <f>IF(F6&gt;1,"～","")</f>
        <v/>
      </c>
      <c r="E6" s="1" t="str">
        <f>IF(F6&gt;1,C6+F6-1,"")</f>
        <v/>
      </c>
      <c r="F6" s="1"/>
      <c r="G6" s="1"/>
      <c r="H6" s="1"/>
      <c r="I6" s="1"/>
    </row>
    <row r="7" spans="1:9">
      <c r="B7" s="1" t="str">
        <f t="shared" ref="B7:B36" si="0">IF(C7="","","・")</f>
        <v>・</v>
      </c>
      <c r="C7" s="1">
        <v>100</v>
      </c>
      <c r="D7" s="1" t="str">
        <f t="shared" ref="D7:D11" si="1">IF(F7&gt;1,"～","")</f>
        <v/>
      </c>
      <c r="E7" s="1" t="str">
        <f t="shared" ref="E7:E11" si="2">IF(F7&gt;1,C7+F7-1,"")</f>
        <v/>
      </c>
      <c r="F7" s="1"/>
      <c r="G7" s="1"/>
      <c r="H7" s="1"/>
      <c r="I7" s="1"/>
    </row>
    <row r="8" spans="1:9">
      <c r="B8" s="1" t="str">
        <f t="shared" si="0"/>
        <v>・</v>
      </c>
      <c r="C8" s="1">
        <v>200</v>
      </c>
      <c r="D8" s="1" t="str">
        <f t="shared" si="1"/>
        <v/>
      </c>
      <c r="E8" s="1" t="str">
        <f t="shared" si="2"/>
        <v/>
      </c>
      <c r="F8" s="1"/>
      <c r="G8" s="1"/>
      <c r="H8" s="1"/>
      <c r="I8" s="1"/>
    </row>
    <row r="9" spans="1:9">
      <c r="B9" s="1" t="str">
        <f t="shared" si="0"/>
        <v>・</v>
      </c>
      <c r="C9" s="1">
        <v>300</v>
      </c>
      <c r="D9" s="1" t="str">
        <f t="shared" si="1"/>
        <v/>
      </c>
      <c r="E9" s="1" t="str">
        <f t="shared" si="2"/>
        <v/>
      </c>
      <c r="F9" s="1"/>
      <c r="G9" s="1"/>
      <c r="H9" s="1"/>
      <c r="I9" s="1"/>
    </row>
    <row r="10" spans="1:9">
      <c r="B10" s="1" t="str">
        <f t="shared" si="0"/>
        <v>・</v>
      </c>
      <c r="C10" s="1">
        <v>500</v>
      </c>
      <c r="D10" s="1" t="str">
        <f t="shared" si="1"/>
        <v/>
      </c>
      <c r="E10" s="1" t="str">
        <f t="shared" si="2"/>
        <v/>
      </c>
      <c r="F10" s="1"/>
      <c r="G10" s="1"/>
      <c r="H10" s="1"/>
      <c r="I10" s="1"/>
    </row>
    <row r="11" spans="1:9">
      <c r="B11" s="1" t="str">
        <f t="shared" si="0"/>
        <v>・</v>
      </c>
      <c r="C11" s="1">
        <v>501</v>
      </c>
      <c r="D11" s="1" t="str">
        <f t="shared" si="1"/>
        <v/>
      </c>
      <c r="E11" s="1" t="str">
        <f t="shared" si="2"/>
        <v/>
      </c>
      <c r="F11" s="1"/>
      <c r="G11" s="1"/>
      <c r="H11" s="1"/>
      <c r="I11" s="1"/>
    </row>
    <row r="12" spans="1:9">
      <c r="B12" s="1" t="str">
        <f t="shared" si="0"/>
        <v>・</v>
      </c>
      <c r="C12" s="1">
        <v>502</v>
      </c>
      <c r="D12" s="1" t="str">
        <f t="shared" ref="D12:D13" si="3">IF(F12&gt;1,"～","")</f>
        <v/>
      </c>
      <c r="E12" s="1" t="str">
        <f t="shared" ref="E12:E13" si="4">IF(F12&gt;1,C12+F12-1,"")</f>
        <v/>
      </c>
      <c r="F12" s="1"/>
      <c r="G12" s="1"/>
      <c r="H12" s="1"/>
      <c r="I12" s="1"/>
    </row>
    <row r="13" spans="1:9">
      <c r="B13" s="1" t="str">
        <f t="shared" si="0"/>
        <v>・</v>
      </c>
      <c r="C13" s="1">
        <v>503</v>
      </c>
      <c r="D13" s="1" t="str">
        <f t="shared" si="3"/>
        <v/>
      </c>
      <c r="E13" s="1" t="str">
        <f t="shared" si="4"/>
        <v/>
      </c>
      <c r="F13" s="1"/>
      <c r="G13" s="1"/>
      <c r="H13" s="1"/>
      <c r="I13" s="1"/>
    </row>
    <row r="14" spans="1:9">
      <c r="B14" s="1" t="str">
        <f t="shared" si="0"/>
        <v>・</v>
      </c>
      <c r="C14" s="1">
        <v>504</v>
      </c>
      <c r="D14" s="1" t="str">
        <f t="shared" ref="D14:D36" si="5">IF(F14&gt;1,"～","")</f>
        <v/>
      </c>
      <c r="E14" s="1" t="str">
        <f t="shared" ref="E14:E36" si="6">IF(F14&gt;1,C14+F14-1,"")</f>
        <v/>
      </c>
      <c r="F14" s="1"/>
      <c r="G14" s="1"/>
      <c r="H14" s="1"/>
      <c r="I14" s="1"/>
    </row>
    <row r="15" spans="1:9">
      <c r="B15" s="1" t="str">
        <f t="shared" si="0"/>
        <v>・</v>
      </c>
      <c r="C15" s="1">
        <v>505</v>
      </c>
      <c r="D15" s="1" t="str">
        <f t="shared" si="5"/>
        <v/>
      </c>
      <c r="E15" s="1" t="str">
        <f t="shared" si="6"/>
        <v/>
      </c>
      <c r="F15" s="1"/>
      <c r="G15" s="1"/>
      <c r="H15" s="1"/>
      <c r="I15" s="1"/>
    </row>
    <row r="16" spans="1:9">
      <c r="B16" s="1" t="str">
        <f t="shared" si="0"/>
        <v>・</v>
      </c>
      <c r="C16" s="1">
        <v>506</v>
      </c>
      <c r="D16" s="1" t="str">
        <f t="shared" si="5"/>
        <v/>
      </c>
      <c r="E16" s="1" t="str">
        <f t="shared" si="6"/>
        <v/>
      </c>
      <c r="F16" s="1"/>
      <c r="G16" s="1"/>
      <c r="H16" s="1"/>
      <c r="I16" s="1"/>
    </row>
    <row r="17" spans="2:9">
      <c r="B17" s="1" t="str">
        <f>IF(C17="","","・")</f>
        <v>・</v>
      </c>
      <c r="C17" s="1">
        <v>507</v>
      </c>
      <c r="D17" s="1" t="str">
        <f t="shared" si="5"/>
        <v/>
      </c>
      <c r="E17" s="1" t="str">
        <f>IF(F17&gt;1,C17+F17-1,"")</f>
        <v/>
      </c>
      <c r="F17" s="1"/>
      <c r="G17" s="1"/>
      <c r="H17" s="1"/>
      <c r="I17" s="1"/>
    </row>
    <row r="18" spans="2:9">
      <c r="B18" s="1" t="str">
        <f t="shared" ref="B18:B25" si="7">IF(C18="","","・")</f>
        <v>・</v>
      </c>
      <c r="C18" s="1">
        <v>510</v>
      </c>
      <c r="D18" s="1" t="str">
        <f t="shared" ref="D18:D25" si="8">IF(F18&gt;1,"～","")</f>
        <v/>
      </c>
      <c r="E18" s="1" t="str">
        <f t="shared" ref="E18:E25" si="9">IF(F18&gt;1,C18+F18-1,"")</f>
        <v/>
      </c>
      <c r="F18" s="1"/>
      <c r="G18" s="1"/>
      <c r="H18" s="1"/>
      <c r="I18" s="1"/>
    </row>
    <row r="19" spans="2:9">
      <c r="B19" s="1" t="str">
        <f t="shared" si="7"/>
        <v>・</v>
      </c>
      <c r="C19" s="1">
        <v>511</v>
      </c>
      <c r="D19" s="1" t="str">
        <f t="shared" si="8"/>
        <v/>
      </c>
      <c r="E19" s="1" t="str">
        <f t="shared" si="9"/>
        <v/>
      </c>
      <c r="F19" s="1"/>
      <c r="G19" s="1"/>
      <c r="H19" s="1"/>
      <c r="I19" s="1"/>
    </row>
    <row r="20" spans="2:9">
      <c r="B20" s="1" t="str">
        <f t="shared" si="7"/>
        <v>・</v>
      </c>
      <c r="C20" s="1">
        <v>512</v>
      </c>
      <c r="D20" s="1" t="str">
        <f t="shared" si="8"/>
        <v/>
      </c>
      <c r="E20" s="1" t="str">
        <f t="shared" si="9"/>
        <v/>
      </c>
      <c r="F20" s="1"/>
      <c r="G20" s="1"/>
      <c r="H20" s="1"/>
      <c r="I20" s="1"/>
    </row>
    <row r="21" spans="2:9">
      <c r="B21" s="1" t="str">
        <f t="shared" si="7"/>
        <v>・</v>
      </c>
      <c r="C21" s="1">
        <v>513</v>
      </c>
      <c r="D21" s="1" t="str">
        <f t="shared" si="8"/>
        <v/>
      </c>
      <c r="E21" s="1" t="str">
        <f t="shared" si="9"/>
        <v/>
      </c>
      <c r="F21" s="1"/>
      <c r="G21" s="1"/>
      <c r="H21" s="1"/>
      <c r="I21" s="1"/>
    </row>
    <row r="22" spans="2:9">
      <c r="B22" s="1" t="str">
        <f t="shared" si="7"/>
        <v>・</v>
      </c>
      <c r="C22" s="1">
        <v>514</v>
      </c>
      <c r="D22" s="1" t="str">
        <f t="shared" si="8"/>
        <v/>
      </c>
      <c r="E22" s="1" t="str">
        <f t="shared" si="9"/>
        <v/>
      </c>
      <c r="F22" s="1"/>
      <c r="G22" s="1"/>
      <c r="H22" s="1"/>
      <c r="I22" s="1"/>
    </row>
    <row r="23" spans="2:9">
      <c r="B23" s="1" t="str">
        <f t="shared" si="7"/>
        <v>・</v>
      </c>
      <c r="C23" s="1">
        <v>515</v>
      </c>
      <c r="D23" s="1" t="str">
        <f t="shared" si="8"/>
        <v/>
      </c>
      <c r="E23" s="1" t="str">
        <f t="shared" si="9"/>
        <v/>
      </c>
      <c r="F23" s="1"/>
      <c r="G23" s="1"/>
      <c r="H23" s="1"/>
      <c r="I23" s="1"/>
    </row>
    <row r="24" spans="2:9">
      <c r="B24" s="1" t="str">
        <f t="shared" si="7"/>
        <v>・</v>
      </c>
      <c r="C24" s="1">
        <v>516</v>
      </c>
      <c r="D24" s="1" t="str">
        <f t="shared" si="8"/>
        <v/>
      </c>
      <c r="E24" s="1" t="str">
        <f t="shared" si="9"/>
        <v/>
      </c>
      <c r="F24" s="1"/>
      <c r="G24" s="1"/>
      <c r="H24" s="1"/>
      <c r="I24" s="1"/>
    </row>
    <row r="25" spans="2:9">
      <c r="B25" s="1" t="str">
        <f t="shared" si="7"/>
        <v>・</v>
      </c>
      <c r="C25" s="1">
        <v>517</v>
      </c>
      <c r="D25" s="1" t="str">
        <f t="shared" si="8"/>
        <v/>
      </c>
      <c r="E25" s="1" t="str">
        <f t="shared" si="9"/>
        <v/>
      </c>
      <c r="F25" s="1"/>
      <c r="G25" s="1"/>
      <c r="H25" s="1"/>
      <c r="I25" s="1"/>
    </row>
    <row r="26" spans="2:9">
      <c r="B26" s="1" t="str">
        <f>IF(C26="","","・")</f>
        <v>・</v>
      </c>
      <c r="C26" s="1">
        <v>1000</v>
      </c>
      <c r="D26" s="1" t="str">
        <f t="shared" si="5"/>
        <v/>
      </c>
      <c r="E26" s="1"/>
      <c r="F26" s="1"/>
      <c r="G26" s="1"/>
      <c r="H26" s="1"/>
      <c r="I26" s="1"/>
    </row>
    <row r="27" spans="2:9">
      <c r="B27" s="1" t="str">
        <f>IF(C27="","","・")</f>
        <v>・</v>
      </c>
      <c r="C27" s="1">
        <v>1005</v>
      </c>
      <c r="D27" s="1" t="str">
        <f t="shared" si="5"/>
        <v/>
      </c>
      <c r="E27" s="1"/>
      <c r="F27" s="1"/>
      <c r="G27" s="1"/>
      <c r="H27" s="1"/>
      <c r="I27" s="1"/>
    </row>
    <row r="28" spans="2:9">
      <c r="B28" s="1" t="str">
        <f t="shared" si="0"/>
        <v>・</v>
      </c>
      <c r="C28" s="1">
        <v>1010</v>
      </c>
      <c r="D28" s="1" t="str">
        <f t="shared" si="5"/>
        <v/>
      </c>
      <c r="E28" s="1"/>
      <c r="F28" s="1"/>
      <c r="G28" s="1"/>
      <c r="H28" s="1"/>
      <c r="I28" s="1"/>
    </row>
    <row r="29" spans="2:9">
      <c r="B29" s="1" t="str">
        <f t="shared" si="0"/>
        <v/>
      </c>
      <c r="C29" s="1"/>
      <c r="D29" s="1" t="str">
        <f t="shared" si="5"/>
        <v/>
      </c>
      <c r="E29" s="1" t="str">
        <f t="shared" si="6"/>
        <v/>
      </c>
      <c r="F29" s="1"/>
      <c r="G29" s="1"/>
      <c r="H29" s="1"/>
      <c r="I29" s="1"/>
    </row>
    <row r="30" spans="2:9">
      <c r="B30" s="1" t="str">
        <f t="shared" si="0"/>
        <v/>
      </c>
      <c r="C30" s="1"/>
      <c r="D30" s="1" t="str">
        <f t="shared" si="5"/>
        <v/>
      </c>
      <c r="E30" s="1" t="str">
        <f t="shared" si="6"/>
        <v/>
      </c>
      <c r="F30" s="1"/>
      <c r="G30" s="1"/>
      <c r="H30" s="1"/>
      <c r="I30" s="1"/>
    </row>
    <row r="31" spans="2:9">
      <c r="B31" s="1" t="str">
        <f t="shared" si="0"/>
        <v/>
      </c>
      <c r="C31" s="1"/>
      <c r="D31" s="1" t="str">
        <f t="shared" si="5"/>
        <v/>
      </c>
      <c r="E31" s="1" t="str">
        <f t="shared" si="6"/>
        <v/>
      </c>
      <c r="F31" s="1"/>
      <c r="G31" s="1"/>
      <c r="H31" s="1"/>
      <c r="I31" s="1"/>
    </row>
    <row r="32" spans="2:9">
      <c r="B32" s="1" t="str">
        <f t="shared" si="0"/>
        <v/>
      </c>
      <c r="C32" s="1"/>
      <c r="D32" s="1" t="str">
        <f t="shared" si="5"/>
        <v/>
      </c>
      <c r="E32" s="1" t="str">
        <f t="shared" si="6"/>
        <v/>
      </c>
      <c r="F32" s="1"/>
      <c r="G32" s="1"/>
      <c r="H32" s="1"/>
      <c r="I32" s="1"/>
    </row>
    <row r="33" spans="2:9">
      <c r="B33" s="1" t="str">
        <f t="shared" si="0"/>
        <v/>
      </c>
      <c r="C33" s="1"/>
      <c r="D33" s="1" t="str">
        <f t="shared" si="5"/>
        <v/>
      </c>
      <c r="E33" s="1" t="str">
        <f t="shared" si="6"/>
        <v/>
      </c>
      <c r="F33" s="1"/>
      <c r="G33" s="1"/>
      <c r="H33" s="1"/>
      <c r="I33" s="1"/>
    </row>
    <row r="34" spans="2:9">
      <c r="B34" s="1" t="str">
        <f t="shared" si="0"/>
        <v/>
      </c>
      <c r="C34" s="1"/>
      <c r="D34" s="1" t="str">
        <f t="shared" si="5"/>
        <v/>
      </c>
      <c r="E34" s="1" t="str">
        <f t="shared" si="6"/>
        <v/>
      </c>
      <c r="F34" s="1"/>
      <c r="G34" s="1"/>
      <c r="H34" s="1"/>
      <c r="I34" s="1"/>
    </row>
    <row r="35" spans="2:9">
      <c r="B35" s="1" t="str">
        <f t="shared" si="0"/>
        <v/>
      </c>
      <c r="C35" s="1"/>
      <c r="D35" s="1" t="str">
        <f t="shared" si="5"/>
        <v/>
      </c>
      <c r="E35" s="1" t="str">
        <f t="shared" si="6"/>
        <v/>
      </c>
      <c r="F35" s="1"/>
      <c r="G35" s="1"/>
      <c r="H35" s="1"/>
      <c r="I35" s="1"/>
    </row>
    <row r="36" spans="2:9">
      <c r="B36" s="1" t="str">
        <f t="shared" si="0"/>
        <v/>
      </c>
      <c r="C36" s="1"/>
      <c r="D36" s="1" t="str">
        <f t="shared" si="5"/>
        <v/>
      </c>
      <c r="E36" s="1" t="str">
        <f t="shared" si="6"/>
        <v/>
      </c>
      <c r="F36" s="1"/>
      <c r="G36" s="1"/>
      <c r="H36" s="1"/>
      <c r="I36" s="1"/>
    </row>
  </sheetData>
  <mergeCells count="4">
    <mergeCell ref="C3:E3"/>
    <mergeCell ref="C1:E1"/>
    <mergeCell ref="B5:C5"/>
    <mergeCell ref="B4:C4"/>
  </mergeCells>
  <phoneticPr fontId="4"/>
  <conditionalFormatting sqref="D6:D36">
    <cfRule type="cellIs" dxfId="3" priority="1" operator="notEqual">
      <formula>"～"</formula>
    </cfRule>
    <cfRule type="cellIs" dxfId="2" priority="2" operator="equal">
      <formula>"～"</formula>
    </cfRule>
  </conditionalFormatting>
  <conditionalFormatting sqref="E6:E36">
    <cfRule type="cellIs" dxfId="1" priority="3" operator="between">
      <formula>0</formula>
      <formula>4095</formula>
    </cfRule>
    <cfRule type="cellIs" dxfId="0" priority="4" operator="notBetween">
      <formula>0</formula>
      <formula>4095</formula>
    </cfRule>
  </conditionalFormatting>
  <hyperlinks>
    <hyperlink ref="A1" location="目次!A1" display="◀" xr:uid="{00000000-0004-0000-1300-000000000000}"/>
  </hyperlink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88" customFormat="1">
      <c r="A1" s="99" t="s">
        <v>32</v>
      </c>
      <c r="C1" s="242" t="s">
        <v>172</v>
      </c>
      <c r="D1" s="242"/>
      <c r="E1" s="242"/>
      <c r="F1" s="242"/>
      <c r="G1" s="242"/>
    </row>
    <row r="3" spans="1:10">
      <c r="C3" s="96" t="s">
        <v>173</v>
      </c>
      <c r="D3" s="96"/>
      <c r="E3" s="96" t="s">
        <v>174</v>
      </c>
      <c r="H3" s="96" t="s">
        <v>175</v>
      </c>
      <c r="I3" s="96"/>
      <c r="J3" s="96"/>
    </row>
    <row r="4" spans="1:10">
      <c r="B4" t="s">
        <v>29</v>
      </c>
      <c r="C4" s="1"/>
      <c r="D4" s="1"/>
      <c r="E4" s="1"/>
      <c r="G4" t="s">
        <v>29</v>
      </c>
      <c r="H4" s="1"/>
      <c r="I4" s="1"/>
      <c r="J4" s="1"/>
    </row>
    <row r="5" spans="1:10">
      <c r="B5" t="s">
        <v>29</v>
      </c>
      <c r="C5" s="1"/>
      <c r="D5" s="1"/>
      <c r="E5" s="1"/>
      <c r="G5" t="s">
        <v>29</v>
      </c>
      <c r="H5" s="1"/>
      <c r="I5" s="1"/>
      <c r="J5" s="1"/>
    </row>
    <row r="6" spans="1:10">
      <c r="B6" t="s">
        <v>29</v>
      </c>
      <c r="C6" s="1"/>
      <c r="D6" s="1"/>
      <c r="E6" s="1"/>
      <c r="G6" t="s">
        <v>29</v>
      </c>
      <c r="H6" s="1"/>
      <c r="I6" s="1"/>
      <c r="J6" s="1"/>
    </row>
    <row r="7" spans="1:10">
      <c r="B7" t="s">
        <v>29</v>
      </c>
      <c r="C7" s="1"/>
      <c r="D7" s="1"/>
      <c r="E7" s="1"/>
      <c r="G7" t="s">
        <v>29</v>
      </c>
      <c r="H7" s="1"/>
      <c r="I7" s="1"/>
      <c r="J7" s="1"/>
    </row>
    <row r="8" spans="1:10">
      <c r="B8" t="s">
        <v>29</v>
      </c>
      <c r="C8" s="1"/>
      <c r="D8" s="1"/>
      <c r="E8" s="1"/>
      <c r="G8" t="s">
        <v>29</v>
      </c>
      <c r="H8" s="1"/>
      <c r="I8" s="1"/>
      <c r="J8" s="1"/>
    </row>
    <row r="9" spans="1:10">
      <c r="B9" t="s">
        <v>29</v>
      </c>
      <c r="C9" s="1"/>
      <c r="D9" s="1"/>
      <c r="E9" s="1"/>
      <c r="G9" t="s">
        <v>29</v>
      </c>
      <c r="H9" s="1"/>
      <c r="I9" s="1"/>
      <c r="J9" s="1"/>
    </row>
    <row r="10" spans="1:10">
      <c r="B10" t="s">
        <v>29</v>
      </c>
      <c r="C10" s="1"/>
      <c r="D10" s="1"/>
      <c r="E10" s="1"/>
      <c r="G10" t="s">
        <v>29</v>
      </c>
      <c r="H10" s="1"/>
      <c r="I10" s="1"/>
      <c r="J10" s="1"/>
    </row>
    <row r="11" spans="1:10">
      <c r="B11" t="s">
        <v>29</v>
      </c>
      <c r="C11" s="1"/>
      <c r="D11" s="1"/>
      <c r="E11" s="1"/>
      <c r="G11" t="s">
        <v>29</v>
      </c>
      <c r="H11" s="1"/>
      <c r="I11" s="1"/>
      <c r="J11" s="1"/>
    </row>
    <row r="12" spans="1:10">
      <c r="B12" t="s">
        <v>29</v>
      </c>
      <c r="C12" s="1"/>
      <c r="D12" s="1"/>
      <c r="E12" s="1"/>
      <c r="G12" t="s">
        <v>29</v>
      </c>
      <c r="H12" s="1"/>
      <c r="I12" s="1"/>
      <c r="J12" s="1"/>
    </row>
    <row r="13" spans="1:10">
      <c r="B13" t="s">
        <v>29</v>
      </c>
      <c r="C13" s="1"/>
      <c r="D13" s="1"/>
      <c r="E13" s="1"/>
      <c r="G13" t="s">
        <v>29</v>
      </c>
      <c r="H13" s="1"/>
      <c r="I13" s="1"/>
      <c r="J13" s="1"/>
    </row>
    <row r="14" spans="1:10">
      <c r="B14" t="s">
        <v>29</v>
      </c>
      <c r="C14" s="1"/>
      <c r="D14" s="1"/>
      <c r="E14" s="1"/>
      <c r="G14" t="s">
        <v>29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/>
  </sheetViews>
  <sheetFormatPr defaultColWidth="9" defaultRowHeight="18" customHeight="1"/>
  <cols>
    <col min="1" max="1" width="5.25" style="17" bestFit="1" customWidth="1"/>
    <col min="2" max="2" width="4.75" style="17" customWidth="1"/>
    <col min="3" max="3" width="31.25" style="17" bestFit="1" customWidth="1"/>
    <col min="4" max="4" width="5.25" style="17" bestFit="1" customWidth="1"/>
    <col min="5" max="7" width="7.125" style="17" customWidth="1"/>
    <col min="8" max="8" width="85.125" style="17" bestFit="1" customWidth="1"/>
    <col min="9" max="16384" width="9" style="17"/>
  </cols>
  <sheetData>
    <row r="1" spans="1:8" s="88" customFormat="1" ht="17.649999999999999">
      <c r="A1" s="99" t="s">
        <v>32</v>
      </c>
      <c r="C1" s="87" t="s">
        <v>176</v>
      </c>
    </row>
    <row r="3" spans="1:8" ht="18" customHeight="1">
      <c r="C3" s="97" t="s">
        <v>177</v>
      </c>
      <c r="D3" s="97" t="s">
        <v>178</v>
      </c>
      <c r="E3" s="97" t="s">
        <v>179</v>
      </c>
      <c r="F3" s="97" t="s">
        <v>180</v>
      </c>
      <c r="G3" s="97" t="s">
        <v>181</v>
      </c>
      <c r="H3" s="97" t="s">
        <v>182</v>
      </c>
    </row>
    <row r="4" spans="1:8" ht="18" customHeight="1">
      <c r="C4" s="18"/>
      <c r="D4" s="18"/>
      <c r="E4" s="18"/>
      <c r="F4" s="18"/>
      <c r="G4" s="18"/>
      <c r="H4" s="18"/>
    </row>
    <row r="5" spans="1:8" ht="18" customHeight="1">
      <c r="C5" s="18"/>
      <c r="D5" s="18"/>
      <c r="E5" s="18"/>
      <c r="F5" s="18"/>
      <c r="G5" s="18"/>
      <c r="H5" s="18"/>
    </row>
    <row r="6" spans="1:8" ht="18" customHeight="1">
      <c r="C6" s="18"/>
      <c r="D6" s="18"/>
      <c r="E6" s="18"/>
      <c r="F6" s="18"/>
      <c r="G6" s="18"/>
      <c r="H6" s="18"/>
    </row>
    <row r="7" spans="1:8" ht="18" customHeight="1">
      <c r="C7" s="18"/>
      <c r="D7" s="18"/>
      <c r="E7" s="18"/>
      <c r="F7" s="18"/>
      <c r="G7" s="18"/>
      <c r="H7" s="18"/>
    </row>
    <row r="8" spans="1:8" ht="18" customHeight="1">
      <c r="C8" s="18"/>
      <c r="D8" s="18"/>
      <c r="E8" s="18"/>
      <c r="F8" s="18"/>
      <c r="G8" s="18"/>
      <c r="H8" s="18"/>
    </row>
    <row r="9" spans="1:8" ht="18" customHeight="1">
      <c r="C9" s="18"/>
      <c r="D9" s="18"/>
      <c r="E9" s="18"/>
      <c r="F9" s="18"/>
      <c r="G9" s="18"/>
      <c r="H9" s="18"/>
    </row>
    <row r="10" spans="1:8" ht="18" customHeight="1">
      <c r="C10" s="18"/>
      <c r="D10" s="18"/>
      <c r="E10" s="18"/>
      <c r="F10" s="18"/>
      <c r="G10" s="18"/>
      <c r="H10" s="18"/>
    </row>
    <row r="11" spans="1:8" ht="18" customHeight="1">
      <c r="C11" s="18"/>
      <c r="D11" s="18"/>
      <c r="E11" s="18"/>
      <c r="F11" s="18"/>
      <c r="G11" s="18"/>
      <c r="H11" s="18"/>
    </row>
    <row r="12" spans="1:8" ht="18" customHeight="1">
      <c r="C12" s="18"/>
      <c r="D12" s="18"/>
      <c r="E12" s="18"/>
      <c r="F12" s="18"/>
      <c r="G12" s="18"/>
      <c r="H12" s="18"/>
    </row>
    <row r="13" spans="1:8" ht="18" customHeight="1">
      <c r="C13" s="18"/>
      <c r="D13" s="18"/>
      <c r="E13" s="18"/>
      <c r="F13" s="18"/>
      <c r="G13" s="18"/>
      <c r="H13" s="18"/>
    </row>
    <row r="14" spans="1:8" ht="18" customHeight="1">
      <c r="C14" s="18"/>
      <c r="D14" s="18"/>
      <c r="E14" s="18"/>
      <c r="F14" s="18"/>
      <c r="G14" s="18"/>
      <c r="H14" s="18"/>
    </row>
    <row r="15" spans="1:8" ht="18" customHeight="1">
      <c r="C15" s="18"/>
      <c r="D15" s="18"/>
      <c r="E15" s="18"/>
      <c r="F15" s="18"/>
      <c r="G15" s="18"/>
      <c r="H15" s="18"/>
    </row>
    <row r="16" spans="1:8" ht="18" customHeight="1">
      <c r="C16" s="18"/>
      <c r="D16" s="18"/>
      <c r="E16" s="18"/>
      <c r="F16" s="18"/>
      <c r="G16" s="18"/>
      <c r="H16" s="18"/>
    </row>
    <row r="17" spans="3:8" ht="18" customHeight="1">
      <c r="C17" s="18"/>
      <c r="D17" s="18"/>
      <c r="E17" s="18"/>
      <c r="F17" s="18"/>
      <c r="G17" s="18"/>
      <c r="H17" s="18"/>
    </row>
    <row r="18" spans="3:8" ht="18" customHeight="1">
      <c r="C18" s="18"/>
      <c r="D18" s="18"/>
      <c r="E18" s="18"/>
      <c r="F18" s="18"/>
      <c r="G18" s="18"/>
      <c r="H18" s="18"/>
    </row>
    <row r="19" spans="3:8" ht="18" customHeight="1">
      <c r="C19" s="18"/>
      <c r="D19" s="18"/>
      <c r="E19" s="18"/>
      <c r="F19" s="18"/>
      <c r="G19" s="18"/>
      <c r="H19" s="18"/>
    </row>
    <row r="20" spans="3:8" ht="18" customHeight="1">
      <c r="C20" s="18"/>
      <c r="D20" s="18"/>
      <c r="E20" s="18"/>
      <c r="F20" s="18"/>
      <c r="G20" s="18"/>
      <c r="H20" s="18"/>
    </row>
    <row r="21" spans="3:8" ht="18" customHeight="1">
      <c r="C21" s="18"/>
      <c r="D21" s="18"/>
      <c r="E21" s="18"/>
      <c r="F21" s="18"/>
      <c r="G21" s="18"/>
      <c r="H21" s="18"/>
    </row>
    <row r="22" spans="3:8" ht="18" customHeight="1">
      <c r="C22" s="18"/>
      <c r="D22" s="18"/>
      <c r="E22" s="18"/>
      <c r="F22" s="18"/>
      <c r="G22" s="18"/>
      <c r="H22" s="18"/>
    </row>
    <row r="23" spans="3:8" ht="18" customHeight="1">
      <c r="C23" s="18"/>
      <c r="D23" s="18"/>
      <c r="E23" s="18"/>
      <c r="F23" s="18"/>
      <c r="G23" s="18"/>
      <c r="H23" s="18"/>
    </row>
    <row r="24" spans="3:8" ht="18" customHeight="1">
      <c r="C24" s="18"/>
      <c r="D24" s="18"/>
      <c r="E24" s="18"/>
      <c r="F24" s="18"/>
      <c r="G24" s="18"/>
      <c r="H24" s="18"/>
    </row>
    <row r="25" spans="3:8" ht="18" customHeight="1">
      <c r="C25" s="18"/>
      <c r="D25" s="18"/>
      <c r="E25" s="18"/>
      <c r="F25" s="18"/>
      <c r="G25" s="18"/>
      <c r="H25" s="18"/>
    </row>
    <row r="26" spans="3:8" ht="18" customHeight="1">
      <c r="C26" s="18"/>
      <c r="D26" s="18"/>
      <c r="E26" s="18"/>
      <c r="F26" s="18"/>
      <c r="G26" s="18"/>
      <c r="H26" s="18"/>
    </row>
    <row r="27" spans="3:8" ht="18" customHeight="1">
      <c r="C27" s="18"/>
      <c r="D27" s="18"/>
      <c r="E27" s="18"/>
      <c r="F27" s="18"/>
      <c r="G27" s="18"/>
      <c r="H27" s="18"/>
    </row>
    <row r="28" spans="3:8" ht="18" customHeight="1">
      <c r="C28" s="18"/>
      <c r="D28" s="18"/>
      <c r="E28" s="18"/>
      <c r="F28" s="18"/>
      <c r="G28" s="18"/>
      <c r="H28" s="18"/>
    </row>
    <row r="29" spans="3:8" ht="18" customHeight="1">
      <c r="C29" s="18"/>
      <c r="D29" s="18"/>
      <c r="E29" s="18"/>
      <c r="F29" s="18"/>
      <c r="G29" s="18"/>
      <c r="H29" s="18"/>
    </row>
    <row r="30" spans="3:8" ht="18" customHeight="1">
      <c r="C30" s="18"/>
      <c r="D30" s="18"/>
      <c r="E30" s="18"/>
      <c r="F30" s="18"/>
      <c r="G30" s="18"/>
      <c r="H30" s="18"/>
    </row>
    <row r="31" spans="3:8" ht="18" customHeight="1">
      <c r="C31" s="18"/>
      <c r="D31" s="18"/>
      <c r="E31" s="18"/>
      <c r="F31" s="18"/>
      <c r="G31" s="18"/>
      <c r="H31" s="18"/>
    </row>
    <row r="32" spans="3:8" ht="18" customHeight="1">
      <c r="C32" s="18"/>
      <c r="D32" s="18"/>
      <c r="E32" s="18"/>
      <c r="F32" s="18"/>
      <c r="G32" s="18"/>
      <c r="H32" s="18"/>
    </row>
    <row r="33" spans="3:8" ht="18" customHeight="1">
      <c r="C33" s="18"/>
      <c r="D33" s="18"/>
      <c r="E33" s="18"/>
      <c r="F33" s="18"/>
      <c r="G33" s="18"/>
      <c r="H33" s="18"/>
    </row>
    <row r="34" spans="3:8" ht="18" customHeight="1">
      <c r="C34" s="18"/>
      <c r="D34" s="18"/>
      <c r="E34" s="18"/>
      <c r="F34" s="18"/>
      <c r="G34" s="18"/>
      <c r="H34" s="18"/>
    </row>
    <row r="35" spans="3:8" ht="18" customHeight="1">
      <c r="C35" s="18"/>
      <c r="D35" s="18"/>
      <c r="E35" s="18"/>
      <c r="F35" s="18"/>
      <c r="G35" s="18"/>
      <c r="H35" s="18"/>
    </row>
    <row r="36" spans="3:8" ht="18" customHeight="1">
      <c r="C36" s="18"/>
      <c r="D36" s="18"/>
      <c r="E36" s="18"/>
      <c r="F36" s="18"/>
      <c r="G36" s="18"/>
      <c r="H36" s="18"/>
    </row>
    <row r="37" spans="3:8" ht="18" customHeight="1">
      <c r="C37" s="18"/>
      <c r="D37" s="18"/>
      <c r="E37" s="18"/>
      <c r="F37" s="18"/>
      <c r="G37" s="18"/>
      <c r="H37" s="18"/>
    </row>
    <row r="38" spans="3:8" ht="18" customHeight="1">
      <c r="C38" s="18"/>
      <c r="D38" s="18"/>
      <c r="E38" s="18"/>
      <c r="F38" s="18"/>
      <c r="G38" s="18"/>
      <c r="H38" s="18"/>
    </row>
    <row r="39" spans="3:8" ht="18" customHeight="1">
      <c r="C39" s="18"/>
      <c r="D39" s="18"/>
      <c r="E39" s="18"/>
      <c r="F39" s="18"/>
      <c r="G39" s="18"/>
      <c r="H39" s="18"/>
    </row>
    <row r="40" spans="3:8" ht="18" customHeight="1">
      <c r="C40" s="18"/>
      <c r="D40" s="18"/>
      <c r="E40" s="18"/>
      <c r="F40" s="18"/>
      <c r="G40" s="18"/>
      <c r="H40" s="18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88" customFormat="1">
      <c r="A1" s="99" t="s">
        <v>32</v>
      </c>
      <c r="C1" s="253" t="s">
        <v>183</v>
      </c>
      <c r="D1" s="253"/>
      <c r="E1" s="253"/>
      <c r="F1" s="87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G28"/>
  <sheetViews>
    <sheetView workbookViewId="0">
      <selection activeCell="G32" sqref="G32"/>
    </sheetView>
  </sheetViews>
  <sheetFormatPr defaultRowHeight="17.649999999999999"/>
  <cols>
    <col min="1" max="1" width="5.25" bestFit="1" customWidth="1"/>
    <col min="2" max="2" width="3.625" bestFit="1" customWidth="1"/>
    <col min="3" max="3" width="5.5" bestFit="1" customWidth="1"/>
    <col min="4" max="4" width="11.125" bestFit="1" customWidth="1"/>
    <col min="5" max="5" width="3.625" bestFit="1" customWidth="1"/>
    <col min="6" max="6" width="3.625" customWidth="1"/>
    <col min="7" max="7" width="3.625" bestFit="1" customWidth="1"/>
  </cols>
  <sheetData>
    <row r="1" spans="1:7" s="88" customFormat="1">
      <c r="A1" s="99" t="s">
        <v>32</v>
      </c>
      <c r="C1" s="253" t="s">
        <v>184</v>
      </c>
      <c r="D1" s="253"/>
      <c r="E1" s="253"/>
      <c r="F1" s="87"/>
    </row>
    <row r="3" spans="1:7">
      <c r="C3" s="281"/>
      <c r="D3" s="281"/>
    </row>
    <row r="4" spans="1:7">
      <c r="C4" s="337"/>
      <c r="D4" s="337"/>
      <c r="E4" s="281"/>
      <c r="F4" s="281"/>
      <c r="G4" s="281"/>
    </row>
    <row r="5" spans="1:7">
      <c r="F5" s="5"/>
    </row>
    <row r="6" spans="1:7">
      <c r="F6" s="5"/>
    </row>
    <row r="7" spans="1:7">
      <c r="F7" s="5"/>
    </row>
    <row r="8" spans="1:7">
      <c r="F8" s="5"/>
    </row>
    <row r="9" spans="1:7">
      <c r="F9" s="5"/>
    </row>
    <row r="10" spans="1:7">
      <c r="F10" s="5"/>
    </row>
    <row r="11" spans="1:7">
      <c r="F11" s="5"/>
    </row>
    <row r="12" spans="1:7">
      <c r="F12" s="5"/>
    </row>
    <row r="13" spans="1:7">
      <c r="F13" s="5"/>
    </row>
    <row r="14" spans="1:7">
      <c r="F14" s="5"/>
    </row>
    <row r="15" spans="1:7">
      <c r="F15" s="5"/>
    </row>
    <row r="16" spans="1:7">
      <c r="F16" s="5"/>
    </row>
    <row r="17" spans="6:6">
      <c r="F17" s="5"/>
    </row>
    <row r="18" spans="6:6">
      <c r="F18" s="5"/>
    </row>
    <row r="19" spans="6:6">
      <c r="F19" s="5"/>
    </row>
    <row r="20" spans="6:6">
      <c r="F20" s="5"/>
    </row>
    <row r="21" spans="6:6">
      <c r="F21" s="5"/>
    </row>
    <row r="22" spans="6:6">
      <c r="F22" s="5"/>
    </row>
    <row r="23" spans="6:6">
      <c r="F23" s="5"/>
    </row>
    <row r="24" spans="6:6">
      <c r="F24" s="5"/>
    </row>
    <row r="25" spans="6:6">
      <c r="F25" s="5"/>
    </row>
    <row r="26" spans="6:6">
      <c r="F26" s="5"/>
    </row>
    <row r="27" spans="6:6">
      <c r="F27" s="5"/>
    </row>
    <row r="28" spans="6:6">
      <c r="F28" s="5"/>
    </row>
  </sheetData>
  <mergeCells count="4">
    <mergeCell ref="C1:E1"/>
    <mergeCell ref="E4:G4"/>
    <mergeCell ref="C4:D4"/>
    <mergeCell ref="C3:D3"/>
  </mergeCells>
  <phoneticPr fontId="4"/>
  <hyperlinks>
    <hyperlink ref="A1" location="目次!A1" display="◀" xr:uid="{00000000-0004-0000-1400-000000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1"/>
  <sheetViews>
    <sheetView workbookViewId="0">
      <selection activeCell="F9" sqref="F9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88" customFormat="1">
      <c r="A1" s="99" t="s">
        <v>32</v>
      </c>
      <c r="C1" s="242" t="s">
        <v>28</v>
      </c>
      <c r="D1" s="242"/>
      <c r="E1" s="242"/>
      <c r="F1" s="87"/>
    </row>
  </sheetData>
  <mergeCells count="1">
    <mergeCell ref="C1:E1"/>
  </mergeCells>
  <phoneticPr fontId="4"/>
  <hyperlinks>
    <hyperlink ref="A1" location="目次!A1" display="◀" xr:uid="{00000000-0004-0000-1500-000000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D7" sqref="D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10" customFormat="1">
      <c r="A1" s="35" t="s">
        <v>32</v>
      </c>
      <c r="C1" s="10" t="s">
        <v>185</v>
      </c>
      <c r="F1" s="9"/>
    </row>
    <row r="3" spans="1:10">
      <c r="C3" s="77" t="s">
        <v>33</v>
      </c>
      <c r="D3" s="77" t="s">
        <v>186</v>
      </c>
      <c r="E3" s="77" t="s">
        <v>187</v>
      </c>
      <c r="F3" s="77" t="s">
        <v>188</v>
      </c>
      <c r="G3" s="77" t="s">
        <v>189</v>
      </c>
      <c r="H3" s="77" t="s">
        <v>190</v>
      </c>
      <c r="I3" s="77" t="s">
        <v>191</v>
      </c>
      <c r="J3" s="77" t="s">
        <v>192</v>
      </c>
    </row>
    <row r="4" spans="1:10">
      <c r="C4" s="1" t="s">
        <v>260</v>
      </c>
      <c r="D4" s="1" t="s">
        <v>261</v>
      </c>
      <c r="E4" s="1"/>
      <c r="F4" s="1"/>
      <c r="G4" s="1"/>
      <c r="H4" s="1"/>
      <c r="I4" s="1"/>
      <c r="J4" s="1"/>
    </row>
    <row r="5" spans="1:10">
      <c r="C5" s="1" t="s">
        <v>262</v>
      </c>
      <c r="D5" s="1" t="s">
        <v>263</v>
      </c>
      <c r="E5" s="1"/>
      <c r="F5" s="1"/>
      <c r="G5" s="1"/>
      <c r="H5" s="1"/>
      <c r="I5" s="1"/>
      <c r="J5" s="1"/>
    </row>
    <row r="6" spans="1:10">
      <c r="C6" s="1" t="s">
        <v>266</v>
      </c>
      <c r="D6" s="1" t="s">
        <v>267</v>
      </c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K27"/>
  <sheetViews>
    <sheetView workbookViewId="0"/>
  </sheetViews>
  <sheetFormatPr defaultRowHeight="17.649999999999999"/>
  <cols>
    <col min="1" max="3" width="6.5" bestFit="1" customWidth="1"/>
    <col min="4" max="7" width="6.5" customWidth="1"/>
    <col min="8" max="8" width="4.625" bestFit="1" customWidth="1"/>
    <col min="9" max="9" width="7.125" bestFit="1" customWidth="1"/>
    <col min="11" max="11" width="6.375" style="63" customWidth="1"/>
    <col min="12" max="12" width="7.125" style="63" bestFit="1" customWidth="1"/>
    <col min="13" max="37" width="4.5" style="63" customWidth="1"/>
  </cols>
  <sheetData>
    <row r="1" spans="1:37">
      <c r="A1" s="1"/>
      <c r="B1" s="1" t="s">
        <v>193</v>
      </c>
      <c r="C1" s="1" t="s">
        <v>194</v>
      </c>
      <c r="D1" t="s">
        <v>195</v>
      </c>
      <c r="E1" t="s">
        <v>196</v>
      </c>
      <c r="F1" t="s">
        <v>197</v>
      </c>
      <c r="G1" t="s">
        <v>198</v>
      </c>
      <c r="H1" s="281" t="s">
        <v>199</v>
      </c>
      <c r="I1" s="281"/>
      <c r="K1" s="63" t="s">
        <v>200</v>
      </c>
      <c r="L1" s="63" t="s">
        <v>201</v>
      </c>
      <c r="M1" s="63">
        <v>0</v>
      </c>
      <c r="N1" s="63">
        <v>15</v>
      </c>
      <c r="O1" s="63">
        <v>30</v>
      </c>
      <c r="P1" s="63">
        <v>45</v>
      </c>
      <c r="Q1" s="63">
        <v>60</v>
      </c>
      <c r="R1" s="63">
        <v>75</v>
      </c>
      <c r="S1" s="63">
        <v>90</v>
      </c>
      <c r="T1" s="63">
        <v>105</v>
      </c>
      <c r="U1" s="63">
        <v>120</v>
      </c>
      <c r="V1" s="63">
        <v>135</v>
      </c>
      <c r="W1" s="63">
        <v>150</v>
      </c>
      <c r="X1" s="63">
        <v>165</v>
      </c>
      <c r="Y1" s="63">
        <v>180</v>
      </c>
      <c r="Z1" s="63">
        <v>195</v>
      </c>
      <c r="AA1" s="63">
        <v>210</v>
      </c>
      <c r="AB1" s="63">
        <v>225</v>
      </c>
      <c r="AC1" s="63">
        <v>240</v>
      </c>
      <c r="AD1" s="63">
        <v>255</v>
      </c>
      <c r="AE1" s="63">
        <v>270</v>
      </c>
      <c r="AF1" s="63">
        <v>285</v>
      </c>
      <c r="AG1" s="63">
        <v>300</v>
      </c>
      <c r="AH1" s="63">
        <v>315</v>
      </c>
      <c r="AI1" s="63">
        <v>330</v>
      </c>
      <c r="AJ1" s="63">
        <v>345</v>
      </c>
      <c r="AK1" s="63">
        <v>360</v>
      </c>
    </row>
    <row r="2" spans="1:37">
      <c r="A2" s="1" t="s">
        <v>200</v>
      </c>
      <c r="B2" s="1">
        <v>16</v>
      </c>
      <c r="C2" s="1">
        <v>120</v>
      </c>
      <c r="D2" s="67">
        <f>B3-B2</f>
        <v>-16</v>
      </c>
      <c r="E2" s="67">
        <f>C3-C2</f>
        <v>0</v>
      </c>
      <c r="F2" s="67">
        <f>ATAN2(D2,E2)</f>
        <v>3.1415926535897931</v>
      </c>
      <c r="G2" s="67">
        <f>DEGREES(F2)</f>
        <v>180</v>
      </c>
      <c r="H2" s="67">
        <f>IF(G2&lt;0,G2+360,IF(G2&gt;360,G2-360,G2))</f>
        <v>180</v>
      </c>
      <c r="I2" s="67" t="str">
        <f>VLOOKUP(H2,$D$6:$F$22,3,1)</f>
        <v>←</v>
      </c>
      <c r="K2" s="63" t="s">
        <v>202</v>
      </c>
      <c r="L2" s="63" t="s">
        <v>203</v>
      </c>
      <c r="M2" s="64" t="s">
        <v>204</v>
      </c>
      <c r="N2" s="65"/>
      <c r="O2" s="65"/>
      <c r="P2" s="65" t="s">
        <v>205</v>
      </c>
      <c r="Q2" s="65"/>
      <c r="R2" s="65"/>
      <c r="S2" s="65" t="s">
        <v>54</v>
      </c>
      <c r="T2" s="65"/>
      <c r="U2" s="65"/>
      <c r="V2" s="65" t="s">
        <v>206</v>
      </c>
      <c r="W2" s="65"/>
      <c r="X2" s="65"/>
      <c r="Y2" s="65" t="s">
        <v>207</v>
      </c>
      <c r="Z2" s="65"/>
      <c r="AA2" s="65"/>
      <c r="AB2" s="65" t="s">
        <v>208</v>
      </c>
      <c r="AC2" s="65"/>
      <c r="AD2" s="65"/>
      <c r="AE2" s="65" t="s">
        <v>209</v>
      </c>
      <c r="AF2" s="65"/>
      <c r="AG2" s="65"/>
      <c r="AH2" s="65" t="s">
        <v>210</v>
      </c>
      <c r="AI2" s="65"/>
      <c r="AJ2" s="65"/>
      <c r="AK2" s="66" t="s">
        <v>204</v>
      </c>
    </row>
    <row r="3" spans="1:37">
      <c r="A3" s="1" t="s">
        <v>211</v>
      </c>
      <c r="B3" s="1">
        <v>0</v>
      </c>
      <c r="C3" s="1">
        <v>120</v>
      </c>
      <c r="D3" s="67">
        <f>B2-B3</f>
        <v>16</v>
      </c>
      <c r="E3" s="67">
        <f>C2-C3</f>
        <v>0</v>
      </c>
      <c r="F3" s="67">
        <f>ATAN2(D3,E3)</f>
        <v>0</v>
      </c>
      <c r="G3" s="67">
        <f>DEGREES(F3)</f>
        <v>0</v>
      </c>
      <c r="H3" s="67">
        <f>IF(G3&lt;0,G3+360,IF(G3&gt;360,G3-360,G3))</f>
        <v>0</v>
      </c>
      <c r="I3" s="67" t="str">
        <f>VLOOKUP(H3,$D$6:$F$22,3,1)</f>
        <v>　　→</v>
      </c>
      <c r="K3" s="63">
        <v>0</v>
      </c>
      <c r="L3" s="13" t="str">
        <f t="shared" ref="L3:L27" si="0">VLOOKUP(K3,$D$6:$F$22,3,1)</f>
        <v>　　→</v>
      </c>
      <c r="M3" s="63">
        <f>MOD(($K3+($K3+180-M$1)),360)</f>
        <v>180</v>
      </c>
      <c r="N3" s="63">
        <f t="shared" ref="N3:AC18" si="1">MOD(($K3+($K3+180-N$1)),360)</f>
        <v>165</v>
      </c>
      <c r="O3" s="63">
        <f t="shared" si="1"/>
        <v>150</v>
      </c>
      <c r="P3" s="63">
        <f t="shared" si="1"/>
        <v>135</v>
      </c>
      <c r="Q3" s="63">
        <f t="shared" si="1"/>
        <v>120</v>
      </c>
      <c r="R3" s="63">
        <f t="shared" si="1"/>
        <v>105</v>
      </c>
      <c r="S3" s="63">
        <f t="shared" si="1"/>
        <v>90</v>
      </c>
      <c r="T3" s="63">
        <f t="shared" si="1"/>
        <v>75</v>
      </c>
      <c r="U3" s="63">
        <f t="shared" si="1"/>
        <v>60</v>
      </c>
      <c r="V3" s="63">
        <f t="shared" si="1"/>
        <v>45</v>
      </c>
      <c r="W3" s="63">
        <f t="shared" si="1"/>
        <v>30</v>
      </c>
      <c r="X3" s="63">
        <f t="shared" si="1"/>
        <v>15</v>
      </c>
      <c r="Y3" s="63">
        <f t="shared" si="1"/>
        <v>0</v>
      </c>
      <c r="Z3" s="63">
        <f t="shared" si="1"/>
        <v>345</v>
      </c>
      <c r="AA3" s="63">
        <f t="shared" si="1"/>
        <v>330</v>
      </c>
      <c r="AB3" s="63">
        <f t="shared" si="1"/>
        <v>315</v>
      </c>
      <c r="AC3" s="63">
        <f t="shared" si="1"/>
        <v>300</v>
      </c>
      <c r="AD3" s="63">
        <f t="shared" ref="AD3:AK18" si="2">MOD(($K3+($K3+180-AD$1)),360)</f>
        <v>285</v>
      </c>
      <c r="AE3" s="63">
        <f t="shared" si="2"/>
        <v>270</v>
      </c>
      <c r="AF3" s="63">
        <f t="shared" si="2"/>
        <v>255</v>
      </c>
      <c r="AG3" s="63">
        <f t="shared" si="2"/>
        <v>240</v>
      </c>
      <c r="AH3" s="63">
        <f t="shared" si="2"/>
        <v>225</v>
      </c>
      <c r="AI3" s="63">
        <f t="shared" si="2"/>
        <v>210</v>
      </c>
      <c r="AJ3" s="63">
        <f t="shared" si="2"/>
        <v>195</v>
      </c>
      <c r="AK3" s="63">
        <f t="shared" si="2"/>
        <v>180</v>
      </c>
    </row>
    <row r="4" spans="1:37" ht="18" thickBot="1">
      <c r="K4" s="63">
        <v>15</v>
      </c>
      <c r="L4" s="13" t="str">
        <f t="shared" si="0"/>
        <v>　↘→</v>
      </c>
      <c r="M4" s="63">
        <f t="shared" ref="M4:AB19" si="3">MOD(($K4+($K4+180-M$1)),360)</f>
        <v>210</v>
      </c>
      <c r="N4" s="63">
        <f t="shared" si="1"/>
        <v>195</v>
      </c>
      <c r="O4" s="63">
        <f t="shared" si="1"/>
        <v>180</v>
      </c>
      <c r="P4" s="63">
        <f t="shared" si="1"/>
        <v>165</v>
      </c>
      <c r="Q4" s="63">
        <f t="shared" si="1"/>
        <v>150</v>
      </c>
      <c r="R4" s="63">
        <f t="shared" si="1"/>
        <v>135</v>
      </c>
      <c r="S4" s="63">
        <f t="shared" si="1"/>
        <v>120</v>
      </c>
      <c r="T4" s="63">
        <f t="shared" si="1"/>
        <v>105</v>
      </c>
      <c r="U4" s="63">
        <f t="shared" si="1"/>
        <v>90</v>
      </c>
      <c r="V4" s="63">
        <f t="shared" si="1"/>
        <v>75</v>
      </c>
      <c r="W4" s="63">
        <f t="shared" si="1"/>
        <v>60</v>
      </c>
      <c r="X4" s="63">
        <f t="shared" si="1"/>
        <v>45</v>
      </c>
      <c r="Y4" s="63">
        <f t="shared" si="1"/>
        <v>30</v>
      </c>
      <c r="Z4" s="63">
        <f t="shared" si="1"/>
        <v>15</v>
      </c>
      <c r="AA4" s="63">
        <f t="shared" si="1"/>
        <v>0</v>
      </c>
      <c r="AB4" s="63">
        <f t="shared" si="1"/>
        <v>345</v>
      </c>
      <c r="AC4" s="63">
        <f t="shared" si="1"/>
        <v>330</v>
      </c>
      <c r="AD4" s="63">
        <f t="shared" si="2"/>
        <v>315</v>
      </c>
      <c r="AE4" s="63">
        <f t="shared" si="2"/>
        <v>300</v>
      </c>
      <c r="AF4" s="63">
        <f t="shared" si="2"/>
        <v>285</v>
      </c>
      <c r="AG4" s="63">
        <f t="shared" si="2"/>
        <v>270</v>
      </c>
      <c r="AH4" s="63">
        <f t="shared" si="2"/>
        <v>255</v>
      </c>
      <c r="AI4" s="63">
        <f t="shared" si="2"/>
        <v>240</v>
      </c>
      <c r="AJ4" s="63">
        <f t="shared" si="2"/>
        <v>225</v>
      </c>
      <c r="AK4" s="63">
        <f t="shared" si="2"/>
        <v>210</v>
      </c>
    </row>
    <row r="5" spans="1:37">
      <c r="D5" s="57" t="s">
        <v>212</v>
      </c>
      <c r="E5" s="58"/>
      <c r="F5" s="59"/>
      <c r="K5" s="63">
        <v>30</v>
      </c>
      <c r="L5" s="13" t="str">
        <f t="shared" si="0"/>
        <v>　↘→</v>
      </c>
      <c r="M5" s="63">
        <f t="shared" si="3"/>
        <v>240</v>
      </c>
      <c r="N5" s="63">
        <f t="shared" si="1"/>
        <v>225</v>
      </c>
      <c r="O5" s="63">
        <f t="shared" si="1"/>
        <v>210</v>
      </c>
      <c r="P5" s="63">
        <f t="shared" si="1"/>
        <v>195</v>
      </c>
      <c r="Q5" s="63">
        <f t="shared" si="1"/>
        <v>180</v>
      </c>
      <c r="R5" s="63">
        <f t="shared" si="1"/>
        <v>165</v>
      </c>
      <c r="S5" s="63">
        <f t="shared" si="1"/>
        <v>150</v>
      </c>
      <c r="T5" s="63">
        <f t="shared" si="1"/>
        <v>135</v>
      </c>
      <c r="U5" s="63">
        <f t="shared" si="1"/>
        <v>120</v>
      </c>
      <c r="V5" s="63">
        <f t="shared" si="1"/>
        <v>105</v>
      </c>
      <c r="W5" s="63">
        <f t="shared" si="1"/>
        <v>90</v>
      </c>
      <c r="X5" s="63">
        <f t="shared" si="1"/>
        <v>75</v>
      </c>
      <c r="Y5" s="63">
        <f t="shared" si="1"/>
        <v>60</v>
      </c>
      <c r="Z5" s="63">
        <f t="shared" si="1"/>
        <v>45</v>
      </c>
      <c r="AA5" s="63">
        <f t="shared" si="1"/>
        <v>30</v>
      </c>
      <c r="AB5" s="63">
        <f t="shared" si="1"/>
        <v>15</v>
      </c>
      <c r="AC5" s="63">
        <f t="shared" si="1"/>
        <v>0</v>
      </c>
      <c r="AD5" s="63">
        <f t="shared" si="2"/>
        <v>345</v>
      </c>
      <c r="AE5" s="63">
        <f t="shared" si="2"/>
        <v>330</v>
      </c>
      <c r="AF5" s="63">
        <f t="shared" si="2"/>
        <v>315</v>
      </c>
      <c r="AG5" s="63">
        <f t="shared" si="2"/>
        <v>300</v>
      </c>
      <c r="AH5" s="63">
        <f t="shared" si="2"/>
        <v>285</v>
      </c>
      <c r="AI5" s="63">
        <f t="shared" si="2"/>
        <v>270</v>
      </c>
      <c r="AJ5" s="63">
        <f t="shared" si="2"/>
        <v>255</v>
      </c>
      <c r="AK5" s="63">
        <f t="shared" si="2"/>
        <v>240</v>
      </c>
    </row>
    <row r="6" spans="1:37">
      <c r="D6" s="60">
        <v>0</v>
      </c>
      <c r="E6" s="1">
        <v>0</v>
      </c>
      <c r="F6" s="2" t="s">
        <v>213</v>
      </c>
      <c r="K6" s="63">
        <v>45</v>
      </c>
      <c r="L6" s="13" t="str">
        <f t="shared" si="0"/>
        <v>　　↘</v>
      </c>
      <c r="M6" s="63">
        <f t="shared" si="3"/>
        <v>270</v>
      </c>
      <c r="N6" s="63">
        <f t="shared" si="1"/>
        <v>255</v>
      </c>
      <c r="O6" s="63">
        <f t="shared" si="1"/>
        <v>240</v>
      </c>
      <c r="P6" s="63">
        <f t="shared" si="1"/>
        <v>225</v>
      </c>
      <c r="Q6" s="63">
        <f t="shared" si="1"/>
        <v>210</v>
      </c>
      <c r="R6" s="63">
        <f t="shared" si="1"/>
        <v>195</v>
      </c>
      <c r="S6" s="63">
        <f t="shared" si="1"/>
        <v>180</v>
      </c>
      <c r="T6" s="63">
        <f t="shared" si="1"/>
        <v>165</v>
      </c>
      <c r="U6" s="63">
        <f t="shared" si="1"/>
        <v>150</v>
      </c>
      <c r="V6" s="63">
        <f t="shared" si="1"/>
        <v>135</v>
      </c>
      <c r="W6" s="63">
        <f t="shared" si="1"/>
        <v>120</v>
      </c>
      <c r="X6" s="63">
        <f t="shared" si="1"/>
        <v>105</v>
      </c>
      <c r="Y6" s="63">
        <f t="shared" si="1"/>
        <v>90</v>
      </c>
      <c r="Z6" s="63">
        <f t="shared" si="1"/>
        <v>75</v>
      </c>
      <c r="AA6" s="63">
        <f t="shared" si="1"/>
        <v>60</v>
      </c>
      <c r="AB6" s="63">
        <f t="shared" si="1"/>
        <v>45</v>
      </c>
      <c r="AC6" s="63">
        <f t="shared" si="1"/>
        <v>30</v>
      </c>
      <c r="AD6" s="63">
        <f t="shared" si="2"/>
        <v>15</v>
      </c>
      <c r="AE6" s="63">
        <f t="shared" si="2"/>
        <v>0</v>
      </c>
      <c r="AF6" s="63">
        <f t="shared" si="2"/>
        <v>345</v>
      </c>
      <c r="AG6" s="63">
        <f t="shared" si="2"/>
        <v>330</v>
      </c>
      <c r="AH6" s="63">
        <f t="shared" si="2"/>
        <v>315</v>
      </c>
      <c r="AI6" s="63">
        <f t="shared" si="2"/>
        <v>300</v>
      </c>
      <c r="AJ6" s="63">
        <f t="shared" si="2"/>
        <v>285</v>
      </c>
      <c r="AK6" s="63">
        <f t="shared" si="2"/>
        <v>270</v>
      </c>
    </row>
    <row r="7" spans="1:37">
      <c r="D7" s="60">
        <v>1</v>
      </c>
      <c r="E7" s="1">
        <v>44</v>
      </c>
      <c r="F7" s="2" t="s">
        <v>214</v>
      </c>
      <c r="K7" s="63">
        <v>60</v>
      </c>
      <c r="L7" s="13" t="str">
        <f t="shared" si="0"/>
        <v>　↓↘</v>
      </c>
      <c r="M7" s="63">
        <f t="shared" si="3"/>
        <v>300</v>
      </c>
      <c r="N7" s="63">
        <f t="shared" si="1"/>
        <v>285</v>
      </c>
      <c r="O7" s="63">
        <f t="shared" si="1"/>
        <v>270</v>
      </c>
      <c r="P7" s="63">
        <f t="shared" si="1"/>
        <v>255</v>
      </c>
      <c r="Q7" s="63">
        <f t="shared" si="1"/>
        <v>240</v>
      </c>
      <c r="R7" s="63">
        <f t="shared" si="1"/>
        <v>225</v>
      </c>
      <c r="S7" s="63">
        <f t="shared" si="1"/>
        <v>210</v>
      </c>
      <c r="T7" s="63">
        <f t="shared" si="1"/>
        <v>195</v>
      </c>
      <c r="U7" s="63">
        <f t="shared" si="1"/>
        <v>180</v>
      </c>
      <c r="V7" s="63">
        <f t="shared" si="1"/>
        <v>165</v>
      </c>
      <c r="W7" s="63">
        <f t="shared" si="1"/>
        <v>150</v>
      </c>
      <c r="X7" s="63">
        <f t="shared" si="1"/>
        <v>135</v>
      </c>
      <c r="Y7" s="63">
        <f t="shared" si="1"/>
        <v>120</v>
      </c>
      <c r="Z7" s="63">
        <f t="shared" si="1"/>
        <v>105</v>
      </c>
      <c r="AA7" s="63">
        <f t="shared" si="1"/>
        <v>90</v>
      </c>
      <c r="AB7" s="63">
        <f t="shared" si="1"/>
        <v>75</v>
      </c>
      <c r="AC7" s="63">
        <f t="shared" si="1"/>
        <v>60</v>
      </c>
      <c r="AD7" s="63">
        <f t="shared" si="2"/>
        <v>45</v>
      </c>
      <c r="AE7" s="63">
        <f t="shared" si="2"/>
        <v>30</v>
      </c>
      <c r="AF7" s="63">
        <f t="shared" si="2"/>
        <v>15</v>
      </c>
      <c r="AG7" s="63">
        <f t="shared" si="2"/>
        <v>0</v>
      </c>
      <c r="AH7" s="63">
        <f t="shared" si="2"/>
        <v>345</v>
      </c>
      <c r="AI7" s="63">
        <f t="shared" si="2"/>
        <v>330</v>
      </c>
      <c r="AJ7" s="63">
        <f t="shared" si="2"/>
        <v>315</v>
      </c>
      <c r="AK7" s="63">
        <f t="shared" si="2"/>
        <v>300</v>
      </c>
    </row>
    <row r="8" spans="1:37">
      <c r="D8" s="60">
        <v>45</v>
      </c>
      <c r="E8" s="1">
        <v>45</v>
      </c>
      <c r="F8" s="2" t="s">
        <v>215</v>
      </c>
      <c r="K8" s="63">
        <v>75</v>
      </c>
      <c r="L8" s="13" t="str">
        <f t="shared" si="0"/>
        <v>　↓↘</v>
      </c>
      <c r="M8" s="63">
        <f t="shared" si="3"/>
        <v>330</v>
      </c>
      <c r="N8" s="63">
        <f t="shared" si="1"/>
        <v>315</v>
      </c>
      <c r="O8" s="63">
        <f t="shared" si="1"/>
        <v>300</v>
      </c>
      <c r="P8" s="63">
        <f t="shared" si="1"/>
        <v>285</v>
      </c>
      <c r="Q8" s="63">
        <f t="shared" si="1"/>
        <v>270</v>
      </c>
      <c r="R8" s="63">
        <f t="shared" si="1"/>
        <v>255</v>
      </c>
      <c r="S8" s="63">
        <f t="shared" si="1"/>
        <v>240</v>
      </c>
      <c r="T8" s="63">
        <f t="shared" si="1"/>
        <v>225</v>
      </c>
      <c r="U8" s="63">
        <f t="shared" si="1"/>
        <v>210</v>
      </c>
      <c r="V8" s="63">
        <f t="shared" si="1"/>
        <v>195</v>
      </c>
      <c r="W8" s="63">
        <f t="shared" si="1"/>
        <v>180</v>
      </c>
      <c r="X8" s="63">
        <f t="shared" si="1"/>
        <v>165</v>
      </c>
      <c r="Y8" s="63">
        <f t="shared" si="1"/>
        <v>150</v>
      </c>
      <c r="Z8" s="63">
        <f t="shared" si="1"/>
        <v>135</v>
      </c>
      <c r="AA8" s="63">
        <f t="shared" si="1"/>
        <v>120</v>
      </c>
      <c r="AB8" s="63">
        <f t="shared" si="1"/>
        <v>105</v>
      </c>
      <c r="AC8" s="63">
        <f t="shared" si="1"/>
        <v>90</v>
      </c>
      <c r="AD8" s="63">
        <f t="shared" si="2"/>
        <v>75</v>
      </c>
      <c r="AE8" s="63">
        <f t="shared" si="2"/>
        <v>60</v>
      </c>
      <c r="AF8" s="63">
        <f t="shared" si="2"/>
        <v>45</v>
      </c>
      <c r="AG8" s="63">
        <f t="shared" si="2"/>
        <v>30</v>
      </c>
      <c r="AH8" s="63">
        <f t="shared" si="2"/>
        <v>15</v>
      </c>
      <c r="AI8" s="63">
        <f t="shared" si="2"/>
        <v>0</v>
      </c>
      <c r="AJ8" s="63">
        <f t="shared" si="2"/>
        <v>345</v>
      </c>
      <c r="AK8" s="63">
        <f t="shared" si="2"/>
        <v>330</v>
      </c>
    </row>
    <row r="9" spans="1:37">
      <c r="D9" s="60">
        <v>46</v>
      </c>
      <c r="E9" s="1">
        <v>89</v>
      </c>
      <c r="F9" s="2" t="s">
        <v>216</v>
      </c>
      <c r="K9" s="63">
        <v>90</v>
      </c>
      <c r="L9" s="13" t="str">
        <f t="shared" si="0"/>
        <v>　↓</v>
      </c>
      <c r="M9" s="63">
        <f t="shared" si="3"/>
        <v>0</v>
      </c>
      <c r="N9" s="63">
        <f t="shared" si="1"/>
        <v>345</v>
      </c>
      <c r="O9" s="63">
        <f t="shared" si="1"/>
        <v>330</v>
      </c>
      <c r="P9" s="63">
        <f t="shared" si="1"/>
        <v>315</v>
      </c>
      <c r="Q9" s="63">
        <f t="shared" si="1"/>
        <v>300</v>
      </c>
      <c r="R9" s="63">
        <f t="shared" si="1"/>
        <v>285</v>
      </c>
      <c r="S9" s="63">
        <f t="shared" si="1"/>
        <v>270</v>
      </c>
      <c r="T9" s="63">
        <f t="shared" si="1"/>
        <v>255</v>
      </c>
      <c r="U9" s="63">
        <f t="shared" si="1"/>
        <v>240</v>
      </c>
      <c r="V9" s="63">
        <f t="shared" si="1"/>
        <v>225</v>
      </c>
      <c r="W9" s="63">
        <f t="shared" si="1"/>
        <v>210</v>
      </c>
      <c r="X9" s="63">
        <f t="shared" si="1"/>
        <v>195</v>
      </c>
      <c r="Y9" s="63">
        <f t="shared" si="1"/>
        <v>180</v>
      </c>
      <c r="Z9" s="63">
        <f t="shared" si="1"/>
        <v>165</v>
      </c>
      <c r="AA9" s="63">
        <f t="shared" si="1"/>
        <v>150</v>
      </c>
      <c r="AB9" s="63">
        <f t="shared" si="1"/>
        <v>135</v>
      </c>
      <c r="AC9" s="63">
        <f t="shared" si="1"/>
        <v>120</v>
      </c>
      <c r="AD9" s="63">
        <f t="shared" si="2"/>
        <v>105</v>
      </c>
      <c r="AE9" s="63">
        <f t="shared" si="2"/>
        <v>90</v>
      </c>
      <c r="AF9" s="63">
        <f t="shared" si="2"/>
        <v>75</v>
      </c>
      <c r="AG9" s="63">
        <f t="shared" si="2"/>
        <v>60</v>
      </c>
      <c r="AH9" s="63">
        <f t="shared" si="2"/>
        <v>45</v>
      </c>
      <c r="AI9" s="63">
        <f t="shared" si="2"/>
        <v>30</v>
      </c>
      <c r="AJ9" s="63">
        <f t="shared" si="2"/>
        <v>15</v>
      </c>
      <c r="AK9" s="63">
        <f t="shared" si="2"/>
        <v>0</v>
      </c>
    </row>
    <row r="10" spans="1:37">
      <c r="D10" s="60">
        <v>90</v>
      </c>
      <c r="E10" s="1">
        <v>90</v>
      </c>
      <c r="F10" s="2" t="s">
        <v>217</v>
      </c>
      <c r="K10" s="63">
        <v>105</v>
      </c>
      <c r="L10" s="13" t="str">
        <f t="shared" si="0"/>
        <v>↙↓</v>
      </c>
      <c r="M10" s="63">
        <f t="shared" si="3"/>
        <v>30</v>
      </c>
      <c r="N10" s="63">
        <f t="shared" si="1"/>
        <v>15</v>
      </c>
      <c r="O10" s="63">
        <f t="shared" si="1"/>
        <v>0</v>
      </c>
      <c r="P10" s="63">
        <f t="shared" si="1"/>
        <v>345</v>
      </c>
      <c r="Q10" s="63">
        <f t="shared" si="1"/>
        <v>330</v>
      </c>
      <c r="R10" s="63">
        <f t="shared" si="1"/>
        <v>315</v>
      </c>
      <c r="S10" s="63">
        <f t="shared" si="1"/>
        <v>300</v>
      </c>
      <c r="T10" s="63">
        <f t="shared" si="1"/>
        <v>285</v>
      </c>
      <c r="U10" s="63">
        <f t="shared" si="1"/>
        <v>270</v>
      </c>
      <c r="V10" s="63">
        <f t="shared" si="1"/>
        <v>255</v>
      </c>
      <c r="W10" s="63">
        <f t="shared" si="1"/>
        <v>240</v>
      </c>
      <c r="X10" s="63">
        <f t="shared" si="1"/>
        <v>225</v>
      </c>
      <c r="Y10" s="63">
        <f t="shared" si="1"/>
        <v>210</v>
      </c>
      <c r="Z10" s="63">
        <f t="shared" si="1"/>
        <v>195</v>
      </c>
      <c r="AA10" s="63">
        <f t="shared" si="1"/>
        <v>180</v>
      </c>
      <c r="AB10" s="63">
        <f t="shared" si="1"/>
        <v>165</v>
      </c>
      <c r="AC10" s="63">
        <f t="shared" si="1"/>
        <v>150</v>
      </c>
      <c r="AD10" s="63">
        <f t="shared" si="2"/>
        <v>135</v>
      </c>
      <c r="AE10" s="63">
        <f t="shared" si="2"/>
        <v>120</v>
      </c>
      <c r="AF10" s="63">
        <f t="shared" si="2"/>
        <v>105</v>
      </c>
      <c r="AG10" s="63">
        <f t="shared" si="2"/>
        <v>90</v>
      </c>
      <c r="AH10" s="63">
        <f t="shared" si="2"/>
        <v>75</v>
      </c>
      <c r="AI10" s="63">
        <f t="shared" si="2"/>
        <v>60</v>
      </c>
      <c r="AJ10" s="63">
        <f t="shared" si="2"/>
        <v>45</v>
      </c>
      <c r="AK10" s="63">
        <f t="shared" si="2"/>
        <v>30</v>
      </c>
    </row>
    <row r="11" spans="1:37">
      <c r="D11" s="60">
        <v>91</v>
      </c>
      <c r="E11" s="1">
        <v>134</v>
      </c>
      <c r="F11" s="2" t="s">
        <v>218</v>
      </c>
      <c r="K11" s="63">
        <v>120</v>
      </c>
      <c r="L11" s="13" t="str">
        <f t="shared" si="0"/>
        <v>↙↓</v>
      </c>
      <c r="M11" s="63">
        <f t="shared" si="3"/>
        <v>60</v>
      </c>
      <c r="N11" s="63">
        <f t="shared" si="1"/>
        <v>45</v>
      </c>
      <c r="O11" s="63">
        <f t="shared" si="1"/>
        <v>30</v>
      </c>
      <c r="P11" s="63">
        <f t="shared" si="1"/>
        <v>15</v>
      </c>
      <c r="Q11" s="63">
        <f t="shared" si="1"/>
        <v>0</v>
      </c>
      <c r="R11" s="63">
        <f t="shared" si="1"/>
        <v>345</v>
      </c>
      <c r="S11" s="63">
        <f t="shared" si="1"/>
        <v>330</v>
      </c>
      <c r="T11" s="63">
        <f t="shared" si="1"/>
        <v>315</v>
      </c>
      <c r="U11" s="63">
        <f t="shared" si="1"/>
        <v>300</v>
      </c>
      <c r="V11" s="63">
        <f t="shared" si="1"/>
        <v>285</v>
      </c>
      <c r="W11" s="63">
        <f t="shared" si="1"/>
        <v>270</v>
      </c>
      <c r="X11" s="63">
        <f t="shared" si="1"/>
        <v>255</v>
      </c>
      <c r="Y11" s="63">
        <f t="shared" si="1"/>
        <v>240</v>
      </c>
      <c r="Z11" s="63">
        <f t="shared" si="1"/>
        <v>225</v>
      </c>
      <c r="AA11" s="63">
        <f t="shared" si="1"/>
        <v>210</v>
      </c>
      <c r="AB11" s="63">
        <f t="shared" si="1"/>
        <v>195</v>
      </c>
      <c r="AC11" s="63">
        <f t="shared" si="1"/>
        <v>180</v>
      </c>
      <c r="AD11" s="63">
        <f t="shared" si="2"/>
        <v>165</v>
      </c>
      <c r="AE11" s="63">
        <f t="shared" si="2"/>
        <v>150</v>
      </c>
      <c r="AF11" s="63">
        <f t="shared" si="2"/>
        <v>135</v>
      </c>
      <c r="AG11" s="63">
        <f t="shared" si="2"/>
        <v>120</v>
      </c>
      <c r="AH11" s="63">
        <f t="shared" si="2"/>
        <v>105</v>
      </c>
      <c r="AI11" s="63">
        <f t="shared" si="2"/>
        <v>90</v>
      </c>
      <c r="AJ11" s="63">
        <f t="shared" si="2"/>
        <v>75</v>
      </c>
      <c r="AK11" s="63">
        <f t="shared" si="2"/>
        <v>60</v>
      </c>
    </row>
    <row r="12" spans="1:37">
      <c r="D12" s="60">
        <v>135</v>
      </c>
      <c r="E12" s="1">
        <v>135</v>
      </c>
      <c r="F12" s="2" t="s">
        <v>206</v>
      </c>
      <c r="K12" s="63">
        <v>135</v>
      </c>
      <c r="L12" s="13" t="str">
        <f t="shared" si="0"/>
        <v>↙</v>
      </c>
      <c r="M12" s="63">
        <f t="shared" si="3"/>
        <v>90</v>
      </c>
      <c r="N12" s="63">
        <f t="shared" si="1"/>
        <v>75</v>
      </c>
      <c r="O12" s="63">
        <f t="shared" si="1"/>
        <v>60</v>
      </c>
      <c r="P12" s="63">
        <f t="shared" si="1"/>
        <v>45</v>
      </c>
      <c r="Q12" s="63">
        <f t="shared" si="1"/>
        <v>30</v>
      </c>
      <c r="R12" s="63">
        <f t="shared" si="1"/>
        <v>15</v>
      </c>
      <c r="S12" s="63">
        <f t="shared" si="1"/>
        <v>0</v>
      </c>
      <c r="T12" s="63">
        <f t="shared" si="1"/>
        <v>345</v>
      </c>
      <c r="U12" s="63">
        <f t="shared" si="1"/>
        <v>330</v>
      </c>
      <c r="V12" s="63">
        <f t="shared" si="1"/>
        <v>315</v>
      </c>
      <c r="W12" s="63">
        <f t="shared" si="1"/>
        <v>300</v>
      </c>
      <c r="X12" s="63">
        <f t="shared" si="1"/>
        <v>285</v>
      </c>
      <c r="Y12" s="63">
        <f t="shared" si="1"/>
        <v>270</v>
      </c>
      <c r="Z12" s="63">
        <f t="shared" si="1"/>
        <v>255</v>
      </c>
      <c r="AA12" s="63">
        <f t="shared" si="1"/>
        <v>240</v>
      </c>
      <c r="AB12" s="63">
        <f t="shared" si="1"/>
        <v>225</v>
      </c>
      <c r="AC12" s="63">
        <f t="shared" si="1"/>
        <v>210</v>
      </c>
      <c r="AD12" s="63">
        <f t="shared" si="2"/>
        <v>195</v>
      </c>
      <c r="AE12" s="63">
        <f t="shared" si="2"/>
        <v>180</v>
      </c>
      <c r="AF12" s="63">
        <f t="shared" si="2"/>
        <v>165</v>
      </c>
      <c r="AG12" s="63">
        <f t="shared" si="2"/>
        <v>150</v>
      </c>
      <c r="AH12" s="63">
        <f t="shared" si="2"/>
        <v>135</v>
      </c>
      <c r="AI12" s="63">
        <f t="shared" si="2"/>
        <v>120</v>
      </c>
      <c r="AJ12" s="63">
        <f t="shared" si="2"/>
        <v>105</v>
      </c>
      <c r="AK12" s="63">
        <f t="shared" si="2"/>
        <v>90</v>
      </c>
    </row>
    <row r="13" spans="1:37">
      <c r="D13" s="60">
        <v>136</v>
      </c>
      <c r="E13" s="1">
        <v>179</v>
      </c>
      <c r="F13" s="2" t="s">
        <v>219</v>
      </c>
      <c r="K13" s="63">
        <v>150</v>
      </c>
      <c r="L13" s="13" t="str">
        <f t="shared" si="0"/>
        <v>←↙</v>
      </c>
      <c r="M13" s="63">
        <f t="shared" si="3"/>
        <v>120</v>
      </c>
      <c r="N13" s="63">
        <f t="shared" si="1"/>
        <v>105</v>
      </c>
      <c r="O13" s="63">
        <f t="shared" si="1"/>
        <v>90</v>
      </c>
      <c r="P13" s="63">
        <f t="shared" si="1"/>
        <v>75</v>
      </c>
      <c r="Q13" s="63">
        <f t="shared" si="1"/>
        <v>60</v>
      </c>
      <c r="R13" s="63">
        <f t="shared" si="1"/>
        <v>45</v>
      </c>
      <c r="S13" s="63">
        <f t="shared" si="1"/>
        <v>30</v>
      </c>
      <c r="T13" s="63">
        <f t="shared" si="1"/>
        <v>15</v>
      </c>
      <c r="U13" s="63">
        <f t="shared" si="1"/>
        <v>0</v>
      </c>
      <c r="V13" s="63">
        <f t="shared" si="1"/>
        <v>345</v>
      </c>
      <c r="W13" s="63">
        <f t="shared" si="1"/>
        <v>330</v>
      </c>
      <c r="X13" s="63">
        <f t="shared" si="1"/>
        <v>315</v>
      </c>
      <c r="Y13" s="63">
        <f t="shared" si="1"/>
        <v>300</v>
      </c>
      <c r="Z13" s="63">
        <f t="shared" si="1"/>
        <v>285</v>
      </c>
      <c r="AA13" s="63">
        <f t="shared" si="1"/>
        <v>270</v>
      </c>
      <c r="AB13" s="63">
        <f t="shared" si="1"/>
        <v>255</v>
      </c>
      <c r="AC13" s="63">
        <f t="shared" si="1"/>
        <v>240</v>
      </c>
      <c r="AD13" s="63">
        <f t="shared" si="2"/>
        <v>225</v>
      </c>
      <c r="AE13" s="63">
        <f t="shared" si="2"/>
        <v>210</v>
      </c>
      <c r="AF13" s="63">
        <f t="shared" si="2"/>
        <v>195</v>
      </c>
      <c r="AG13" s="63">
        <f t="shared" si="2"/>
        <v>180</v>
      </c>
      <c r="AH13" s="63">
        <f t="shared" si="2"/>
        <v>165</v>
      </c>
      <c r="AI13" s="63">
        <f t="shared" si="2"/>
        <v>150</v>
      </c>
      <c r="AJ13" s="63">
        <f t="shared" si="2"/>
        <v>135</v>
      </c>
      <c r="AK13" s="63">
        <f t="shared" si="2"/>
        <v>120</v>
      </c>
    </row>
    <row r="14" spans="1:37">
      <c r="D14" s="60">
        <v>180</v>
      </c>
      <c r="E14" s="1">
        <v>180</v>
      </c>
      <c r="F14" s="2" t="s">
        <v>207</v>
      </c>
      <c r="K14" s="63">
        <v>165</v>
      </c>
      <c r="L14" s="13" t="str">
        <f t="shared" si="0"/>
        <v>←↙</v>
      </c>
      <c r="M14" s="63">
        <f t="shared" si="3"/>
        <v>150</v>
      </c>
      <c r="N14" s="63">
        <f t="shared" si="1"/>
        <v>135</v>
      </c>
      <c r="O14" s="63">
        <f t="shared" si="1"/>
        <v>120</v>
      </c>
      <c r="P14" s="63">
        <f t="shared" si="1"/>
        <v>105</v>
      </c>
      <c r="Q14" s="63">
        <f t="shared" si="1"/>
        <v>90</v>
      </c>
      <c r="R14" s="63">
        <f t="shared" si="1"/>
        <v>75</v>
      </c>
      <c r="S14" s="63">
        <f t="shared" si="1"/>
        <v>60</v>
      </c>
      <c r="T14" s="63">
        <f t="shared" si="1"/>
        <v>45</v>
      </c>
      <c r="U14" s="63">
        <f t="shared" si="1"/>
        <v>30</v>
      </c>
      <c r="V14" s="63">
        <f t="shared" si="1"/>
        <v>15</v>
      </c>
      <c r="W14" s="63">
        <f t="shared" si="1"/>
        <v>0</v>
      </c>
      <c r="X14" s="63">
        <f t="shared" si="1"/>
        <v>345</v>
      </c>
      <c r="Y14" s="63">
        <f t="shared" si="1"/>
        <v>330</v>
      </c>
      <c r="Z14" s="63">
        <f t="shared" si="1"/>
        <v>315</v>
      </c>
      <c r="AA14" s="63">
        <f t="shared" si="1"/>
        <v>300</v>
      </c>
      <c r="AB14" s="63">
        <f t="shared" si="1"/>
        <v>285</v>
      </c>
      <c r="AC14" s="63">
        <f t="shared" si="1"/>
        <v>270</v>
      </c>
      <c r="AD14" s="63">
        <f t="shared" si="2"/>
        <v>255</v>
      </c>
      <c r="AE14" s="63">
        <f t="shared" si="2"/>
        <v>240</v>
      </c>
      <c r="AF14" s="63">
        <f t="shared" si="2"/>
        <v>225</v>
      </c>
      <c r="AG14" s="63">
        <f t="shared" si="2"/>
        <v>210</v>
      </c>
      <c r="AH14" s="63">
        <f t="shared" si="2"/>
        <v>195</v>
      </c>
      <c r="AI14" s="63">
        <f t="shared" si="2"/>
        <v>180</v>
      </c>
      <c r="AJ14" s="63">
        <f t="shared" si="2"/>
        <v>165</v>
      </c>
      <c r="AK14" s="63">
        <f t="shared" si="2"/>
        <v>150</v>
      </c>
    </row>
    <row r="15" spans="1:37">
      <c r="D15" s="60">
        <v>181</v>
      </c>
      <c r="E15" s="1">
        <v>224</v>
      </c>
      <c r="F15" s="2" t="s">
        <v>220</v>
      </c>
      <c r="K15" s="63">
        <v>180</v>
      </c>
      <c r="L15" s="13" t="str">
        <f t="shared" si="0"/>
        <v>←</v>
      </c>
      <c r="M15" s="63">
        <f t="shared" si="3"/>
        <v>180</v>
      </c>
      <c r="N15" s="63">
        <f t="shared" si="1"/>
        <v>165</v>
      </c>
      <c r="O15" s="63">
        <f t="shared" si="1"/>
        <v>150</v>
      </c>
      <c r="P15" s="63">
        <f t="shared" si="1"/>
        <v>135</v>
      </c>
      <c r="Q15" s="63">
        <f t="shared" si="1"/>
        <v>120</v>
      </c>
      <c r="R15" s="63">
        <f t="shared" si="1"/>
        <v>105</v>
      </c>
      <c r="S15" s="63">
        <f t="shared" si="1"/>
        <v>90</v>
      </c>
      <c r="T15" s="63">
        <f t="shared" si="1"/>
        <v>75</v>
      </c>
      <c r="U15" s="63">
        <f t="shared" si="1"/>
        <v>60</v>
      </c>
      <c r="V15" s="63">
        <f t="shared" si="1"/>
        <v>45</v>
      </c>
      <c r="W15" s="63">
        <f t="shared" si="1"/>
        <v>30</v>
      </c>
      <c r="X15" s="63">
        <f t="shared" si="1"/>
        <v>15</v>
      </c>
      <c r="Y15" s="63">
        <f t="shared" si="1"/>
        <v>0</v>
      </c>
      <c r="Z15" s="63">
        <f t="shared" si="1"/>
        <v>345</v>
      </c>
      <c r="AA15" s="63">
        <f t="shared" si="1"/>
        <v>330</v>
      </c>
      <c r="AB15" s="63">
        <f t="shared" si="1"/>
        <v>315</v>
      </c>
      <c r="AC15" s="63">
        <f t="shared" si="1"/>
        <v>300</v>
      </c>
      <c r="AD15" s="63">
        <f t="shared" si="2"/>
        <v>285</v>
      </c>
      <c r="AE15" s="63">
        <f t="shared" si="2"/>
        <v>270</v>
      </c>
      <c r="AF15" s="63">
        <f t="shared" si="2"/>
        <v>255</v>
      </c>
      <c r="AG15" s="63">
        <f t="shared" si="2"/>
        <v>240</v>
      </c>
      <c r="AH15" s="63">
        <f t="shared" si="2"/>
        <v>225</v>
      </c>
      <c r="AI15" s="63">
        <f t="shared" si="2"/>
        <v>210</v>
      </c>
      <c r="AJ15" s="63">
        <f t="shared" si="2"/>
        <v>195</v>
      </c>
      <c r="AK15" s="63">
        <f t="shared" si="2"/>
        <v>180</v>
      </c>
    </row>
    <row r="16" spans="1:37">
      <c r="D16" s="60">
        <v>225</v>
      </c>
      <c r="E16" s="1">
        <v>225</v>
      </c>
      <c r="F16" s="2" t="s">
        <v>208</v>
      </c>
      <c r="K16" s="63">
        <v>195</v>
      </c>
      <c r="L16" s="13" t="str">
        <f t="shared" si="0"/>
        <v>←↖</v>
      </c>
      <c r="M16" s="63">
        <f t="shared" si="3"/>
        <v>210</v>
      </c>
      <c r="N16" s="63">
        <f t="shared" si="1"/>
        <v>195</v>
      </c>
      <c r="O16" s="63">
        <f t="shared" si="1"/>
        <v>180</v>
      </c>
      <c r="P16" s="63">
        <f t="shared" si="1"/>
        <v>165</v>
      </c>
      <c r="Q16" s="63">
        <f t="shared" si="1"/>
        <v>150</v>
      </c>
      <c r="R16" s="63">
        <f t="shared" si="1"/>
        <v>135</v>
      </c>
      <c r="S16" s="63">
        <f t="shared" si="1"/>
        <v>120</v>
      </c>
      <c r="T16" s="63">
        <f t="shared" si="1"/>
        <v>105</v>
      </c>
      <c r="U16" s="63">
        <f t="shared" si="1"/>
        <v>90</v>
      </c>
      <c r="V16" s="63">
        <f t="shared" si="1"/>
        <v>75</v>
      </c>
      <c r="W16" s="63">
        <f t="shared" si="1"/>
        <v>60</v>
      </c>
      <c r="X16" s="63">
        <f t="shared" si="1"/>
        <v>45</v>
      </c>
      <c r="Y16" s="63">
        <f t="shared" si="1"/>
        <v>30</v>
      </c>
      <c r="Z16" s="63">
        <f t="shared" si="1"/>
        <v>15</v>
      </c>
      <c r="AA16" s="63">
        <f t="shared" si="1"/>
        <v>0</v>
      </c>
      <c r="AB16" s="63">
        <f t="shared" si="1"/>
        <v>345</v>
      </c>
      <c r="AC16" s="63">
        <f t="shared" si="1"/>
        <v>330</v>
      </c>
      <c r="AD16" s="63">
        <f t="shared" si="2"/>
        <v>315</v>
      </c>
      <c r="AE16" s="63">
        <f t="shared" si="2"/>
        <v>300</v>
      </c>
      <c r="AF16" s="63">
        <f t="shared" si="2"/>
        <v>285</v>
      </c>
      <c r="AG16" s="63">
        <f t="shared" si="2"/>
        <v>270</v>
      </c>
      <c r="AH16" s="63">
        <f t="shared" si="2"/>
        <v>255</v>
      </c>
      <c r="AI16" s="63">
        <f t="shared" si="2"/>
        <v>240</v>
      </c>
      <c r="AJ16" s="63">
        <f t="shared" si="2"/>
        <v>225</v>
      </c>
      <c r="AK16" s="63">
        <f t="shared" si="2"/>
        <v>210</v>
      </c>
    </row>
    <row r="17" spans="4:37">
      <c r="D17" s="60">
        <v>226</v>
      </c>
      <c r="E17" s="1">
        <v>269</v>
      </c>
      <c r="F17" s="2" t="s">
        <v>221</v>
      </c>
      <c r="K17" s="63">
        <v>210</v>
      </c>
      <c r="L17" s="13" t="str">
        <f t="shared" si="0"/>
        <v>←↖</v>
      </c>
      <c r="M17" s="63">
        <f t="shared" si="3"/>
        <v>240</v>
      </c>
      <c r="N17" s="63">
        <f t="shared" si="1"/>
        <v>225</v>
      </c>
      <c r="O17" s="63">
        <f t="shared" si="1"/>
        <v>210</v>
      </c>
      <c r="P17" s="63">
        <f t="shared" si="1"/>
        <v>195</v>
      </c>
      <c r="Q17" s="63">
        <f t="shared" si="1"/>
        <v>180</v>
      </c>
      <c r="R17" s="63">
        <f t="shared" si="1"/>
        <v>165</v>
      </c>
      <c r="S17" s="63">
        <f t="shared" si="1"/>
        <v>150</v>
      </c>
      <c r="T17" s="63">
        <f t="shared" si="1"/>
        <v>135</v>
      </c>
      <c r="U17" s="63">
        <f t="shared" si="1"/>
        <v>120</v>
      </c>
      <c r="V17" s="63">
        <f t="shared" si="1"/>
        <v>105</v>
      </c>
      <c r="W17" s="63">
        <f t="shared" si="1"/>
        <v>90</v>
      </c>
      <c r="X17" s="63">
        <f t="shared" si="1"/>
        <v>75</v>
      </c>
      <c r="Y17" s="63">
        <f t="shared" si="1"/>
        <v>60</v>
      </c>
      <c r="Z17" s="63">
        <f t="shared" si="1"/>
        <v>45</v>
      </c>
      <c r="AA17" s="63">
        <f t="shared" si="1"/>
        <v>30</v>
      </c>
      <c r="AB17" s="63">
        <f t="shared" si="1"/>
        <v>15</v>
      </c>
      <c r="AC17" s="63">
        <f t="shared" si="1"/>
        <v>0</v>
      </c>
      <c r="AD17" s="63">
        <f t="shared" si="2"/>
        <v>345</v>
      </c>
      <c r="AE17" s="63">
        <f t="shared" si="2"/>
        <v>330</v>
      </c>
      <c r="AF17" s="63">
        <f t="shared" si="2"/>
        <v>315</v>
      </c>
      <c r="AG17" s="63">
        <f t="shared" si="2"/>
        <v>300</v>
      </c>
      <c r="AH17" s="63">
        <f t="shared" si="2"/>
        <v>285</v>
      </c>
      <c r="AI17" s="63">
        <f t="shared" si="2"/>
        <v>270</v>
      </c>
      <c r="AJ17" s="63">
        <f t="shared" si="2"/>
        <v>255</v>
      </c>
      <c r="AK17" s="63">
        <f t="shared" si="2"/>
        <v>240</v>
      </c>
    </row>
    <row r="18" spans="4:37">
      <c r="D18" s="60">
        <v>270</v>
      </c>
      <c r="E18" s="1">
        <v>270</v>
      </c>
      <c r="F18" s="2" t="s">
        <v>222</v>
      </c>
      <c r="K18" s="63">
        <v>225</v>
      </c>
      <c r="L18" s="13" t="str">
        <f t="shared" si="0"/>
        <v>↖</v>
      </c>
      <c r="M18" s="63">
        <f t="shared" si="3"/>
        <v>270</v>
      </c>
      <c r="N18" s="63">
        <f t="shared" si="1"/>
        <v>255</v>
      </c>
      <c r="O18" s="63">
        <f t="shared" si="1"/>
        <v>240</v>
      </c>
      <c r="P18" s="63">
        <f t="shared" si="1"/>
        <v>225</v>
      </c>
      <c r="Q18" s="63">
        <f t="shared" si="1"/>
        <v>210</v>
      </c>
      <c r="R18" s="63">
        <f t="shared" si="1"/>
        <v>195</v>
      </c>
      <c r="S18" s="63">
        <f t="shared" si="1"/>
        <v>180</v>
      </c>
      <c r="T18" s="63">
        <f t="shared" si="1"/>
        <v>165</v>
      </c>
      <c r="U18" s="63">
        <f t="shared" si="1"/>
        <v>150</v>
      </c>
      <c r="V18" s="63">
        <f t="shared" si="1"/>
        <v>135</v>
      </c>
      <c r="W18" s="63">
        <f t="shared" si="1"/>
        <v>120</v>
      </c>
      <c r="X18" s="63">
        <f t="shared" si="1"/>
        <v>105</v>
      </c>
      <c r="Y18" s="63">
        <f t="shared" si="1"/>
        <v>90</v>
      </c>
      <c r="Z18" s="63">
        <f t="shared" si="1"/>
        <v>75</v>
      </c>
      <c r="AA18" s="63">
        <f t="shared" si="1"/>
        <v>60</v>
      </c>
      <c r="AB18" s="63">
        <f t="shared" si="1"/>
        <v>45</v>
      </c>
      <c r="AC18" s="63">
        <f t="shared" ref="AC18:AK27" si="4">MOD(($K18+($K18+180-AC$1)),360)</f>
        <v>30</v>
      </c>
      <c r="AD18" s="63">
        <f t="shared" si="2"/>
        <v>15</v>
      </c>
      <c r="AE18" s="63">
        <f t="shared" si="2"/>
        <v>0</v>
      </c>
      <c r="AF18" s="63">
        <f t="shared" si="2"/>
        <v>345</v>
      </c>
      <c r="AG18" s="63">
        <f t="shared" si="2"/>
        <v>330</v>
      </c>
      <c r="AH18" s="63">
        <f t="shared" si="2"/>
        <v>315</v>
      </c>
      <c r="AI18" s="63">
        <f t="shared" si="2"/>
        <v>300</v>
      </c>
      <c r="AJ18" s="63">
        <f t="shared" si="2"/>
        <v>285</v>
      </c>
      <c r="AK18" s="63">
        <f t="shared" si="2"/>
        <v>270</v>
      </c>
    </row>
    <row r="19" spans="4:37">
      <c r="D19" s="60">
        <v>271</v>
      </c>
      <c r="E19" s="1">
        <v>314</v>
      </c>
      <c r="F19" s="2" t="s">
        <v>223</v>
      </c>
      <c r="K19" s="63">
        <v>240</v>
      </c>
      <c r="L19" s="13" t="str">
        <f t="shared" si="0"/>
        <v>↖↑</v>
      </c>
      <c r="M19" s="63">
        <f t="shared" si="3"/>
        <v>300</v>
      </c>
      <c r="N19" s="63">
        <f t="shared" si="3"/>
        <v>285</v>
      </c>
      <c r="O19" s="63">
        <f t="shared" si="3"/>
        <v>270</v>
      </c>
      <c r="P19" s="63">
        <f t="shared" si="3"/>
        <v>255</v>
      </c>
      <c r="Q19" s="63">
        <f t="shared" si="3"/>
        <v>240</v>
      </c>
      <c r="R19" s="63">
        <f t="shared" si="3"/>
        <v>225</v>
      </c>
      <c r="S19" s="63">
        <f t="shared" si="3"/>
        <v>210</v>
      </c>
      <c r="T19" s="63">
        <f t="shared" si="3"/>
        <v>195</v>
      </c>
      <c r="U19" s="63">
        <f t="shared" si="3"/>
        <v>180</v>
      </c>
      <c r="V19" s="63">
        <f t="shared" si="3"/>
        <v>165</v>
      </c>
      <c r="W19" s="63">
        <f t="shared" si="3"/>
        <v>150</v>
      </c>
      <c r="X19" s="63">
        <f t="shared" si="3"/>
        <v>135</v>
      </c>
      <c r="Y19" s="63">
        <f t="shared" si="3"/>
        <v>120</v>
      </c>
      <c r="Z19" s="63">
        <f t="shared" si="3"/>
        <v>105</v>
      </c>
      <c r="AA19" s="63">
        <f t="shared" si="3"/>
        <v>90</v>
      </c>
      <c r="AB19" s="63">
        <f t="shared" si="3"/>
        <v>75</v>
      </c>
      <c r="AC19" s="63">
        <f t="shared" si="4"/>
        <v>60</v>
      </c>
      <c r="AD19" s="63">
        <f t="shared" si="4"/>
        <v>45</v>
      </c>
      <c r="AE19" s="63">
        <f t="shared" si="4"/>
        <v>30</v>
      </c>
      <c r="AF19" s="63">
        <f t="shared" si="4"/>
        <v>15</v>
      </c>
      <c r="AG19" s="63">
        <f t="shared" si="4"/>
        <v>0</v>
      </c>
      <c r="AH19" s="63">
        <f t="shared" si="4"/>
        <v>345</v>
      </c>
      <c r="AI19" s="63">
        <f t="shared" si="4"/>
        <v>330</v>
      </c>
      <c r="AJ19" s="63">
        <f t="shared" si="4"/>
        <v>315</v>
      </c>
      <c r="AK19" s="63">
        <f t="shared" si="4"/>
        <v>300</v>
      </c>
    </row>
    <row r="20" spans="4:37">
      <c r="D20" s="60">
        <v>315</v>
      </c>
      <c r="E20" s="1">
        <v>315</v>
      </c>
      <c r="F20" s="2" t="s">
        <v>224</v>
      </c>
      <c r="K20" s="63">
        <v>255</v>
      </c>
      <c r="L20" s="13" t="str">
        <f t="shared" si="0"/>
        <v>↖↑</v>
      </c>
      <c r="M20" s="63">
        <f t="shared" ref="M20:AB27" si="5">MOD(($K20+($K20+180-M$1)),360)</f>
        <v>330</v>
      </c>
      <c r="N20" s="63">
        <f t="shared" si="5"/>
        <v>315</v>
      </c>
      <c r="O20" s="63">
        <f t="shared" si="5"/>
        <v>300</v>
      </c>
      <c r="P20" s="63">
        <f t="shared" si="5"/>
        <v>285</v>
      </c>
      <c r="Q20" s="63">
        <f t="shared" si="5"/>
        <v>270</v>
      </c>
      <c r="R20" s="63">
        <f t="shared" si="5"/>
        <v>255</v>
      </c>
      <c r="S20" s="63">
        <f t="shared" si="5"/>
        <v>240</v>
      </c>
      <c r="T20" s="63">
        <f t="shared" si="5"/>
        <v>225</v>
      </c>
      <c r="U20" s="63">
        <f t="shared" si="5"/>
        <v>210</v>
      </c>
      <c r="V20" s="63">
        <f t="shared" si="5"/>
        <v>195</v>
      </c>
      <c r="W20" s="63">
        <f t="shared" si="5"/>
        <v>180</v>
      </c>
      <c r="X20" s="63">
        <f t="shared" si="5"/>
        <v>165</v>
      </c>
      <c r="Y20" s="63">
        <f t="shared" si="5"/>
        <v>150</v>
      </c>
      <c r="Z20" s="63">
        <f t="shared" si="5"/>
        <v>135</v>
      </c>
      <c r="AA20" s="63">
        <f t="shared" si="5"/>
        <v>120</v>
      </c>
      <c r="AB20" s="63">
        <f t="shared" si="5"/>
        <v>105</v>
      </c>
      <c r="AC20" s="63">
        <f t="shared" si="4"/>
        <v>90</v>
      </c>
      <c r="AD20" s="63">
        <f t="shared" si="4"/>
        <v>75</v>
      </c>
      <c r="AE20" s="63">
        <f t="shared" si="4"/>
        <v>60</v>
      </c>
      <c r="AF20" s="63">
        <f t="shared" si="4"/>
        <v>45</v>
      </c>
      <c r="AG20" s="63">
        <f t="shared" si="4"/>
        <v>30</v>
      </c>
      <c r="AH20" s="63">
        <f t="shared" si="4"/>
        <v>15</v>
      </c>
      <c r="AI20" s="63">
        <f t="shared" si="4"/>
        <v>0</v>
      </c>
      <c r="AJ20" s="63">
        <f t="shared" si="4"/>
        <v>345</v>
      </c>
      <c r="AK20" s="63">
        <f t="shared" si="4"/>
        <v>330</v>
      </c>
    </row>
    <row r="21" spans="4:37">
      <c r="D21" s="60">
        <v>316</v>
      </c>
      <c r="E21" s="1">
        <v>359</v>
      </c>
      <c r="F21" s="2" t="s">
        <v>225</v>
      </c>
      <c r="K21" s="63">
        <v>270</v>
      </c>
      <c r="L21" s="13" t="str">
        <f t="shared" si="0"/>
        <v>　↑</v>
      </c>
      <c r="M21" s="63">
        <f t="shared" si="5"/>
        <v>0</v>
      </c>
      <c r="N21" s="63">
        <f t="shared" si="5"/>
        <v>345</v>
      </c>
      <c r="O21" s="63">
        <f t="shared" si="5"/>
        <v>330</v>
      </c>
      <c r="P21" s="63">
        <f t="shared" si="5"/>
        <v>315</v>
      </c>
      <c r="Q21" s="63">
        <f t="shared" si="5"/>
        <v>300</v>
      </c>
      <c r="R21" s="63">
        <f t="shared" si="5"/>
        <v>285</v>
      </c>
      <c r="S21" s="63">
        <f t="shared" si="5"/>
        <v>270</v>
      </c>
      <c r="T21" s="63">
        <f t="shared" si="5"/>
        <v>255</v>
      </c>
      <c r="U21" s="63">
        <f t="shared" si="5"/>
        <v>240</v>
      </c>
      <c r="V21" s="63">
        <f t="shared" si="5"/>
        <v>225</v>
      </c>
      <c r="W21" s="63">
        <f t="shared" si="5"/>
        <v>210</v>
      </c>
      <c r="X21" s="63">
        <f t="shared" si="5"/>
        <v>195</v>
      </c>
      <c r="Y21" s="63">
        <f t="shared" si="5"/>
        <v>180</v>
      </c>
      <c r="Z21" s="63">
        <f t="shared" si="5"/>
        <v>165</v>
      </c>
      <c r="AA21" s="63">
        <f t="shared" si="5"/>
        <v>150</v>
      </c>
      <c r="AB21" s="63">
        <f t="shared" si="5"/>
        <v>135</v>
      </c>
      <c r="AC21" s="63">
        <f t="shared" si="4"/>
        <v>120</v>
      </c>
      <c r="AD21" s="63">
        <f t="shared" si="4"/>
        <v>105</v>
      </c>
      <c r="AE21" s="63">
        <f t="shared" si="4"/>
        <v>90</v>
      </c>
      <c r="AF21" s="63">
        <f t="shared" si="4"/>
        <v>75</v>
      </c>
      <c r="AG21" s="63">
        <f t="shared" si="4"/>
        <v>60</v>
      </c>
      <c r="AH21" s="63">
        <f t="shared" si="4"/>
        <v>45</v>
      </c>
      <c r="AI21" s="63">
        <f t="shared" si="4"/>
        <v>30</v>
      </c>
      <c r="AJ21" s="63">
        <f t="shared" si="4"/>
        <v>15</v>
      </c>
      <c r="AK21" s="63">
        <f t="shared" si="4"/>
        <v>0</v>
      </c>
    </row>
    <row r="22" spans="4:37" ht="18" thickBot="1">
      <c r="D22" s="61">
        <v>360</v>
      </c>
      <c r="E22" s="62">
        <v>360</v>
      </c>
      <c r="F22" s="3" t="s">
        <v>213</v>
      </c>
      <c r="K22" s="63">
        <v>285</v>
      </c>
      <c r="L22" s="13" t="str">
        <f t="shared" si="0"/>
        <v>　↑↗</v>
      </c>
      <c r="M22" s="63">
        <f t="shared" si="5"/>
        <v>30</v>
      </c>
      <c r="N22" s="63">
        <f t="shared" si="5"/>
        <v>15</v>
      </c>
      <c r="O22" s="63">
        <f t="shared" si="5"/>
        <v>0</v>
      </c>
      <c r="P22" s="63">
        <f t="shared" si="5"/>
        <v>345</v>
      </c>
      <c r="Q22" s="63">
        <f t="shared" si="5"/>
        <v>330</v>
      </c>
      <c r="R22" s="63">
        <f t="shared" si="5"/>
        <v>315</v>
      </c>
      <c r="S22" s="63">
        <f t="shared" si="5"/>
        <v>300</v>
      </c>
      <c r="T22" s="63">
        <f t="shared" si="5"/>
        <v>285</v>
      </c>
      <c r="U22" s="63">
        <f t="shared" si="5"/>
        <v>270</v>
      </c>
      <c r="V22" s="63">
        <f t="shared" si="5"/>
        <v>255</v>
      </c>
      <c r="W22" s="63">
        <f t="shared" si="5"/>
        <v>240</v>
      </c>
      <c r="X22" s="63">
        <f t="shared" si="5"/>
        <v>225</v>
      </c>
      <c r="Y22" s="63">
        <f t="shared" si="5"/>
        <v>210</v>
      </c>
      <c r="Z22" s="63">
        <f t="shared" si="5"/>
        <v>195</v>
      </c>
      <c r="AA22" s="63">
        <f t="shared" si="5"/>
        <v>180</v>
      </c>
      <c r="AB22" s="63">
        <f t="shared" si="5"/>
        <v>165</v>
      </c>
      <c r="AC22" s="63">
        <f t="shared" si="4"/>
        <v>150</v>
      </c>
      <c r="AD22" s="63">
        <f t="shared" si="4"/>
        <v>135</v>
      </c>
      <c r="AE22" s="63">
        <f t="shared" si="4"/>
        <v>120</v>
      </c>
      <c r="AF22" s="63">
        <f t="shared" si="4"/>
        <v>105</v>
      </c>
      <c r="AG22" s="63">
        <f t="shared" si="4"/>
        <v>90</v>
      </c>
      <c r="AH22" s="63">
        <f t="shared" si="4"/>
        <v>75</v>
      </c>
      <c r="AI22" s="63">
        <f t="shared" si="4"/>
        <v>60</v>
      </c>
      <c r="AJ22" s="63">
        <f t="shared" si="4"/>
        <v>45</v>
      </c>
      <c r="AK22" s="63">
        <f t="shared" si="4"/>
        <v>30</v>
      </c>
    </row>
    <row r="23" spans="4:37">
      <c r="K23" s="63">
        <v>300</v>
      </c>
      <c r="L23" s="13" t="str">
        <f t="shared" si="0"/>
        <v>　↑↗</v>
      </c>
      <c r="M23" s="63">
        <f t="shared" si="5"/>
        <v>60</v>
      </c>
      <c r="N23" s="63">
        <f t="shared" si="5"/>
        <v>45</v>
      </c>
      <c r="O23" s="63">
        <f t="shared" si="5"/>
        <v>30</v>
      </c>
      <c r="P23" s="63">
        <f t="shared" si="5"/>
        <v>15</v>
      </c>
      <c r="Q23" s="63">
        <f t="shared" si="5"/>
        <v>0</v>
      </c>
      <c r="R23" s="63">
        <f t="shared" si="5"/>
        <v>345</v>
      </c>
      <c r="S23" s="63">
        <f t="shared" si="5"/>
        <v>330</v>
      </c>
      <c r="T23" s="63">
        <f t="shared" si="5"/>
        <v>315</v>
      </c>
      <c r="U23" s="63">
        <f t="shared" si="5"/>
        <v>300</v>
      </c>
      <c r="V23" s="63">
        <f t="shared" si="5"/>
        <v>285</v>
      </c>
      <c r="W23" s="63">
        <f t="shared" si="5"/>
        <v>270</v>
      </c>
      <c r="X23" s="63">
        <f t="shared" si="5"/>
        <v>255</v>
      </c>
      <c r="Y23" s="63">
        <f t="shared" si="5"/>
        <v>240</v>
      </c>
      <c r="Z23" s="63">
        <f t="shared" si="5"/>
        <v>225</v>
      </c>
      <c r="AA23" s="63">
        <f t="shared" si="5"/>
        <v>210</v>
      </c>
      <c r="AB23" s="63">
        <f t="shared" si="5"/>
        <v>195</v>
      </c>
      <c r="AC23" s="63">
        <f t="shared" si="4"/>
        <v>180</v>
      </c>
      <c r="AD23" s="63">
        <f t="shared" si="4"/>
        <v>165</v>
      </c>
      <c r="AE23" s="63">
        <f t="shared" si="4"/>
        <v>150</v>
      </c>
      <c r="AF23" s="63">
        <f t="shared" si="4"/>
        <v>135</v>
      </c>
      <c r="AG23" s="63">
        <f t="shared" si="4"/>
        <v>120</v>
      </c>
      <c r="AH23" s="63">
        <f t="shared" si="4"/>
        <v>105</v>
      </c>
      <c r="AI23" s="63">
        <f t="shared" si="4"/>
        <v>90</v>
      </c>
      <c r="AJ23" s="63">
        <f t="shared" si="4"/>
        <v>75</v>
      </c>
      <c r="AK23" s="63">
        <f t="shared" si="4"/>
        <v>60</v>
      </c>
    </row>
    <row r="24" spans="4:37">
      <c r="K24" s="63">
        <v>315</v>
      </c>
      <c r="L24" s="13" t="str">
        <f t="shared" si="0"/>
        <v>　　↗</v>
      </c>
      <c r="M24" s="63">
        <f t="shared" si="5"/>
        <v>90</v>
      </c>
      <c r="N24" s="63">
        <f t="shared" si="5"/>
        <v>75</v>
      </c>
      <c r="O24" s="63">
        <f t="shared" si="5"/>
        <v>60</v>
      </c>
      <c r="P24" s="63">
        <f t="shared" si="5"/>
        <v>45</v>
      </c>
      <c r="Q24" s="63">
        <f t="shared" si="5"/>
        <v>30</v>
      </c>
      <c r="R24" s="63">
        <f t="shared" si="5"/>
        <v>15</v>
      </c>
      <c r="S24" s="63">
        <f t="shared" si="5"/>
        <v>0</v>
      </c>
      <c r="T24" s="63">
        <f t="shared" si="5"/>
        <v>345</v>
      </c>
      <c r="U24" s="63">
        <f t="shared" si="5"/>
        <v>330</v>
      </c>
      <c r="V24" s="63">
        <f t="shared" si="5"/>
        <v>315</v>
      </c>
      <c r="W24" s="63">
        <f t="shared" si="5"/>
        <v>300</v>
      </c>
      <c r="X24" s="63">
        <f t="shared" si="5"/>
        <v>285</v>
      </c>
      <c r="Y24" s="63">
        <f t="shared" si="5"/>
        <v>270</v>
      </c>
      <c r="Z24" s="63">
        <f t="shared" si="5"/>
        <v>255</v>
      </c>
      <c r="AA24" s="63">
        <f t="shared" si="5"/>
        <v>240</v>
      </c>
      <c r="AB24" s="63">
        <f t="shared" si="5"/>
        <v>225</v>
      </c>
      <c r="AC24" s="63">
        <f t="shared" si="4"/>
        <v>210</v>
      </c>
      <c r="AD24" s="63">
        <f t="shared" si="4"/>
        <v>195</v>
      </c>
      <c r="AE24" s="63">
        <f t="shared" si="4"/>
        <v>180</v>
      </c>
      <c r="AF24" s="63">
        <f t="shared" si="4"/>
        <v>165</v>
      </c>
      <c r="AG24" s="63">
        <f t="shared" si="4"/>
        <v>150</v>
      </c>
      <c r="AH24" s="63">
        <f t="shared" si="4"/>
        <v>135</v>
      </c>
      <c r="AI24" s="63">
        <f t="shared" si="4"/>
        <v>120</v>
      </c>
      <c r="AJ24" s="63">
        <f t="shared" si="4"/>
        <v>105</v>
      </c>
      <c r="AK24" s="63">
        <f t="shared" si="4"/>
        <v>90</v>
      </c>
    </row>
    <row r="25" spans="4:37">
      <c r="K25" s="63">
        <v>330</v>
      </c>
      <c r="L25" s="13" t="str">
        <f t="shared" si="0"/>
        <v>　↗→</v>
      </c>
      <c r="M25" s="63">
        <f t="shared" si="5"/>
        <v>120</v>
      </c>
      <c r="N25" s="63">
        <f t="shared" si="5"/>
        <v>105</v>
      </c>
      <c r="O25" s="63">
        <f t="shared" si="5"/>
        <v>90</v>
      </c>
      <c r="P25" s="63">
        <f t="shared" si="5"/>
        <v>75</v>
      </c>
      <c r="Q25" s="63">
        <f t="shared" si="5"/>
        <v>60</v>
      </c>
      <c r="R25" s="63">
        <f t="shared" si="5"/>
        <v>45</v>
      </c>
      <c r="S25" s="63">
        <f t="shared" si="5"/>
        <v>30</v>
      </c>
      <c r="T25" s="63">
        <f t="shared" si="5"/>
        <v>15</v>
      </c>
      <c r="U25" s="63">
        <f t="shared" si="5"/>
        <v>0</v>
      </c>
      <c r="V25" s="63">
        <f t="shared" si="5"/>
        <v>345</v>
      </c>
      <c r="W25" s="63">
        <f t="shared" si="5"/>
        <v>330</v>
      </c>
      <c r="X25" s="63">
        <f t="shared" si="5"/>
        <v>315</v>
      </c>
      <c r="Y25" s="63">
        <f t="shared" si="5"/>
        <v>300</v>
      </c>
      <c r="Z25" s="63">
        <f t="shared" si="5"/>
        <v>285</v>
      </c>
      <c r="AA25" s="63">
        <f t="shared" si="5"/>
        <v>270</v>
      </c>
      <c r="AB25" s="63">
        <f t="shared" si="5"/>
        <v>255</v>
      </c>
      <c r="AC25" s="63">
        <f t="shared" si="4"/>
        <v>240</v>
      </c>
      <c r="AD25" s="63">
        <f t="shared" si="4"/>
        <v>225</v>
      </c>
      <c r="AE25" s="63">
        <f t="shared" si="4"/>
        <v>210</v>
      </c>
      <c r="AF25" s="63">
        <f t="shared" si="4"/>
        <v>195</v>
      </c>
      <c r="AG25" s="63">
        <f t="shared" si="4"/>
        <v>180</v>
      </c>
      <c r="AH25" s="63">
        <f t="shared" si="4"/>
        <v>165</v>
      </c>
      <c r="AI25" s="63">
        <f t="shared" si="4"/>
        <v>150</v>
      </c>
      <c r="AJ25" s="63">
        <f t="shared" si="4"/>
        <v>135</v>
      </c>
      <c r="AK25" s="63">
        <f t="shared" si="4"/>
        <v>120</v>
      </c>
    </row>
    <row r="26" spans="4:37">
      <c r="K26" s="63">
        <v>345</v>
      </c>
      <c r="L26" s="13" t="str">
        <f t="shared" si="0"/>
        <v>　↗→</v>
      </c>
      <c r="M26" s="63">
        <f t="shared" si="5"/>
        <v>150</v>
      </c>
      <c r="N26" s="63">
        <f t="shared" si="5"/>
        <v>135</v>
      </c>
      <c r="O26" s="63">
        <f t="shared" si="5"/>
        <v>120</v>
      </c>
      <c r="P26" s="63">
        <f t="shared" si="5"/>
        <v>105</v>
      </c>
      <c r="Q26" s="63">
        <f t="shared" si="5"/>
        <v>90</v>
      </c>
      <c r="R26" s="63">
        <f t="shared" si="5"/>
        <v>75</v>
      </c>
      <c r="S26" s="63">
        <f t="shared" si="5"/>
        <v>60</v>
      </c>
      <c r="T26" s="63">
        <f t="shared" si="5"/>
        <v>45</v>
      </c>
      <c r="U26" s="63">
        <f t="shared" si="5"/>
        <v>30</v>
      </c>
      <c r="V26" s="63">
        <f t="shared" si="5"/>
        <v>15</v>
      </c>
      <c r="W26" s="63">
        <f t="shared" si="5"/>
        <v>0</v>
      </c>
      <c r="X26" s="63">
        <f t="shared" si="5"/>
        <v>345</v>
      </c>
      <c r="Y26" s="63">
        <f t="shared" si="5"/>
        <v>330</v>
      </c>
      <c r="Z26" s="63">
        <f t="shared" si="5"/>
        <v>315</v>
      </c>
      <c r="AA26" s="63">
        <f t="shared" si="5"/>
        <v>300</v>
      </c>
      <c r="AB26" s="63">
        <f t="shared" si="5"/>
        <v>285</v>
      </c>
      <c r="AC26" s="63">
        <f t="shared" si="4"/>
        <v>270</v>
      </c>
      <c r="AD26" s="63">
        <f t="shared" si="4"/>
        <v>255</v>
      </c>
      <c r="AE26" s="63">
        <f t="shared" si="4"/>
        <v>240</v>
      </c>
      <c r="AF26" s="63">
        <f t="shared" si="4"/>
        <v>225</v>
      </c>
      <c r="AG26" s="63">
        <f t="shared" si="4"/>
        <v>210</v>
      </c>
      <c r="AH26" s="63">
        <f t="shared" si="4"/>
        <v>195</v>
      </c>
      <c r="AI26" s="63">
        <f t="shared" si="4"/>
        <v>180</v>
      </c>
      <c r="AJ26" s="63">
        <f t="shared" si="4"/>
        <v>165</v>
      </c>
      <c r="AK26" s="63">
        <f t="shared" si="4"/>
        <v>150</v>
      </c>
    </row>
    <row r="27" spans="4:37">
      <c r="K27" s="63">
        <v>360</v>
      </c>
      <c r="L27" s="13" t="str">
        <f t="shared" si="0"/>
        <v>　　→</v>
      </c>
      <c r="M27" s="63">
        <f t="shared" si="5"/>
        <v>180</v>
      </c>
      <c r="N27" s="63">
        <f t="shared" si="5"/>
        <v>165</v>
      </c>
      <c r="O27" s="63">
        <f t="shared" si="5"/>
        <v>150</v>
      </c>
      <c r="P27" s="63">
        <f t="shared" si="5"/>
        <v>135</v>
      </c>
      <c r="Q27" s="63">
        <f t="shared" si="5"/>
        <v>120</v>
      </c>
      <c r="R27" s="63">
        <f t="shared" si="5"/>
        <v>105</v>
      </c>
      <c r="S27" s="63">
        <f t="shared" si="5"/>
        <v>90</v>
      </c>
      <c r="T27" s="63">
        <f t="shared" si="5"/>
        <v>75</v>
      </c>
      <c r="U27" s="63">
        <f t="shared" si="5"/>
        <v>60</v>
      </c>
      <c r="V27" s="63">
        <f t="shared" si="5"/>
        <v>45</v>
      </c>
      <c r="W27" s="63">
        <f t="shared" si="5"/>
        <v>30</v>
      </c>
      <c r="X27" s="63">
        <f t="shared" si="5"/>
        <v>15</v>
      </c>
      <c r="Y27" s="63">
        <f t="shared" si="5"/>
        <v>0</v>
      </c>
      <c r="Z27" s="63">
        <f t="shared" si="5"/>
        <v>345</v>
      </c>
      <c r="AA27" s="63">
        <f t="shared" si="5"/>
        <v>330</v>
      </c>
      <c r="AB27" s="63">
        <f t="shared" si="5"/>
        <v>315</v>
      </c>
      <c r="AC27" s="63">
        <f t="shared" si="4"/>
        <v>300</v>
      </c>
      <c r="AD27" s="63">
        <f t="shared" si="4"/>
        <v>285</v>
      </c>
      <c r="AE27" s="63">
        <f t="shared" si="4"/>
        <v>270</v>
      </c>
      <c r="AF27" s="63">
        <f t="shared" si="4"/>
        <v>255</v>
      </c>
      <c r="AG27" s="63">
        <f t="shared" si="4"/>
        <v>240</v>
      </c>
      <c r="AH27" s="63">
        <f t="shared" si="4"/>
        <v>225</v>
      </c>
      <c r="AI27" s="63">
        <f t="shared" si="4"/>
        <v>210</v>
      </c>
      <c r="AJ27" s="63">
        <f t="shared" si="4"/>
        <v>195</v>
      </c>
      <c r="AK27" s="63">
        <f t="shared" si="4"/>
        <v>180</v>
      </c>
    </row>
  </sheetData>
  <mergeCells count="1">
    <mergeCell ref="H1:I1"/>
  </mergeCells>
  <phoneticPr fontId="4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目次</vt:lpstr>
      <vt:lpstr>基本情報</vt:lpstr>
      <vt:lpstr>設定仕様</vt:lpstr>
      <vt:lpstr>基本ルール</vt:lpstr>
      <vt:lpstr>全体フロー</vt:lpstr>
      <vt:lpstr>ラベル一覧</vt:lpstr>
      <vt:lpstr>タイトルフロー</vt:lpstr>
      <vt:lpstr>画面一覧</vt:lpstr>
      <vt:lpstr>ゲームメインフロー</vt:lpstr>
      <vt:lpstr>一覧表項目説明</vt:lpstr>
      <vt:lpstr>タイトル画面</vt:lpstr>
      <vt:lpstr>マップ選択画面</vt:lpstr>
      <vt:lpstr>マップ選択画面 (2)</vt:lpstr>
      <vt:lpstr>マップ選択画面 (3)</vt:lpstr>
      <vt:lpstr>メイン画面</vt:lpstr>
      <vt:lpstr>グラフィック一覧</vt:lpstr>
      <vt:lpstr>サウンド一覧</vt:lpstr>
      <vt:lpstr>スプライト設定一覧</vt:lpstr>
      <vt:lpstr>パラメータ・用語一覧</vt:lpstr>
      <vt:lpstr>変数表</vt:lpstr>
      <vt:lpstr>データ表</vt:lpstr>
      <vt:lpstr>スプライト定義</vt:lpstr>
      <vt:lpstr>シナリオ一覧</vt:lpstr>
      <vt:lpstr>エラー履歴</vt:lpstr>
      <vt:lpstr>反射計算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2026-05-07T02:21:20Z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